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327"/>
  <workbookPr filterPrivacy="1" defaultThemeVersion="124226"/>
  <xr:revisionPtr revIDLastSave="0" documentId="8_{CBD52CEA-475F-4CF5-8CE7-47C651022B4E}" xr6:coauthVersionLast="47" xr6:coauthVersionMax="47" xr10:uidLastSave="{00000000-0000-0000-0000-000000000000}"/>
  <bookViews>
    <workbookView xWindow="-110" yWindow="-110" windowWidth="22780" windowHeight="14660" tabRatio="793" xr2:uid="{00000000-000D-0000-FFFF-FFFF00000000}"/>
  </bookViews>
  <sheets>
    <sheet name="Cover" sheetId="12" r:id="rId1"/>
    <sheet name="Notes" sheetId="27" r:id="rId2"/>
    <sheet name="Version History" sheetId="14" r:id="rId3"/>
    <sheet name="Monthly Core Data Measures" sheetId="21" r:id="rId4"/>
    <sheet name="Table 1a Field names" sheetId="22" r:id="rId5"/>
    <sheet name="Table 1b Dimensions" sheetId="28" r:id="rId6"/>
    <sheet name="Table 1c Counts" sheetId="25" r:id="rId7"/>
    <sheet name="Monthly HV Data Measures" sheetId="17" r:id="rId8"/>
    <sheet name="Data Quality Measures" sheetId="18" r:id="rId9"/>
    <sheet name="Glossary" sheetId="15" r:id="rId10"/>
    <sheet name="Monthly Core Data Measures old" sheetId="13" state="hidden" r:id="rId11"/>
    <sheet name="Table 1b Dimensions old" sheetId="26" state="hidden" r:id="rId12"/>
    <sheet name="Table 3" sheetId="20" state="hidden" r:id="rId13"/>
    <sheet name="Table 4 Counts wking" sheetId="24" state="hidden" r:id="rId14"/>
  </sheets>
  <externalReferences>
    <externalReference r:id="rId15"/>
    <externalReference r:id="rId16"/>
    <externalReference r:id="rId17"/>
    <externalReference r:id="rId18"/>
    <externalReference r:id="rId19"/>
  </externalReferences>
  <definedNames>
    <definedName name="_xlnm._FilterDatabase" localSheetId="8" hidden="1">'Data Quality Measures'!#REF!</definedName>
    <definedName name="_xlnm._FilterDatabase" localSheetId="3" hidden="1">'Monthly Core Data Measures'!$B$9:$I$97</definedName>
    <definedName name="_xlnm._FilterDatabase" localSheetId="10" hidden="1">'Monthly Core Data Measures old'!$B$71:$G$71</definedName>
    <definedName name="_xlnm._FilterDatabase" localSheetId="7" hidden="1">'Monthly HV Data Measures'!$B$33:$G$86</definedName>
    <definedName name="_xlnm._FilterDatabase" localSheetId="5" hidden="1">'Table 1b Dimensions'!$B$10:$F$33</definedName>
    <definedName name="ActColD">[1]Councils!$C$162</definedName>
    <definedName name="ActColID2">[1]Councils!$C$163</definedName>
    <definedName name="all" localSheetId="0">#REF!</definedName>
    <definedName name="all" localSheetId="10">#REF!</definedName>
    <definedName name="all">#REF!</definedName>
    <definedName name="Amb" localSheetId="0">#REF!</definedName>
    <definedName name="Amb" localSheetId="10">#REF!</definedName>
    <definedName name="Amb">#REF!</definedName>
    <definedName name="CASSRcode" localSheetId="0">'[2]List of Returns'!#REF!</definedName>
    <definedName name="CASSRcode" localSheetId="10">'[2]List of Returns'!#REF!</definedName>
    <definedName name="CASSRcode">'[2]List of Returns'!#REF!</definedName>
    <definedName name="cod" localSheetId="0">#REF!</definedName>
    <definedName name="cod" localSheetId="10">#REF!</definedName>
    <definedName name="cod">#REF!</definedName>
    <definedName name="ContactName" localSheetId="0">'[2]List of Returns'!#REF!</definedName>
    <definedName name="ContactName" localSheetId="10">'[2]List of Returns'!#REF!</definedName>
    <definedName name="ContactName">'[2]List of Returns'!#REF!</definedName>
    <definedName name="Current" localSheetId="0">#REF!</definedName>
    <definedName name="Current" localSheetId="10">#REF!</definedName>
    <definedName name="Current">#REF!</definedName>
    <definedName name="DQMeasure">[3]Lookups!$B$1:$B$6</definedName>
    <definedName name="eh" localSheetId="0" hidden="1">{"'Trust by name'!$A$6:$E$350","'Trust by name'!$A$1:$D$348"}</definedName>
    <definedName name="eh" localSheetId="10" hidden="1">{"'Trust by name'!$A$6:$E$350","'Trust by name'!$A$1:$D$348"}</definedName>
    <definedName name="eh" hidden="1">{"'Trust by name'!$A$6:$E$350","'Trust by name'!$A$1:$D$348"}</definedName>
    <definedName name="HTML_CodePage" hidden="1">1252</definedName>
    <definedName name="HTML_Control" localSheetId="0" hidden="1">{"'Trust by name'!$A$6:$E$350","'Trust by name'!$A$1:$D$348"}</definedName>
    <definedName name="HTML_Control" localSheetId="10" hidden="1">{"'Trust by name'!$A$6:$E$350","'Trust by name'!$A$1:$D$348"}</definedName>
    <definedName name="HTML_Control" hidden="1">{"'Trust by name'!$A$6:$E$350","'Trust by name'!$A$1:$D$348"}</definedName>
    <definedName name="HTML_Description" hidden="1">""</definedName>
    <definedName name="HTML_Email" hidden="1">""</definedName>
    <definedName name="HTML_Header" hidden="1">"Trust by name"</definedName>
    <definedName name="HTML_LastUpdate" hidden="1">"22/03/2001"</definedName>
    <definedName name="HTML_LineAfter" hidden="1">FALSE</definedName>
    <definedName name="HTML_LineBefore" hidden="1">FALSE</definedName>
    <definedName name="HTML_Name" hidden="1">"OISIII"</definedName>
    <definedName name="HTML_OBDlg2" hidden="1">TRUE</definedName>
    <definedName name="HTML_OBDlg4" hidden="1">TRUE</definedName>
    <definedName name="HTML_OS" hidden="1">0</definedName>
    <definedName name="HTML_PathFile" hidden="1">"G:\ACTIVITY\HELP\DTPANIC\2001-02\MyHTML.htm"</definedName>
    <definedName name="HTML_Title" hidden="1">"Section 1"</definedName>
    <definedName name="LAName">[4]Cover!$E$8</definedName>
    <definedName name="list" localSheetId="10">#REF!</definedName>
    <definedName name="list">#REF!</definedName>
    <definedName name="list1" localSheetId="0">#REF!</definedName>
    <definedName name="list1" localSheetId="10">#REF!</definedName>
    <definedName name="list1">#REF!</definedName>
    <definedName name="list2" localSheetId="0">#REF!</definedName>
    <definedName name="list2" localSheetId="10">#REF!</definedName>
    <definedName name="list2">#REF!</definedName>
    <definedName name="list3" localSheetId="0">#REF!</definedName>
    <definedName name="list3" localSheetId="10">#REF!</definedName>
    <definedName name="list3">#REF!</definedName>
    <definedName name="list4" localSheetId="0">#REF!</definedName>
    <definedName name="list4" localSheetId="10">#REF!</definedName>
    <definedName name="list4">#REF!</definedName>
    <definedName name="LISTCLOSE" localSheetId="0">#REF!</definedName>
    <definedName name="LISTCLOSE" localSheetId="10">#REF!</definedName>
    <definedName name="LISTCLOSE">#REF!</definedName>
    <definedName name="listHA" localSheetId="0">#REF!</definedName>
    <definedName name="listHA" localSheetId="10">#REF!</definedName>
    <definedName name="listHA">#REF!</definedName>
    <definedName name="LISTNEW" localSheetId="0">#REF!</definedName>
    <definedName name="LISTNEW" localSheetId="10">#REF!</definedName>
    <definedName name="LISTNEW">#REF!</definedName>
    <definedName name="MasterDataItems">'[5]Master Data Item List'!$A$1:$S$541</definedName>
    <definedName name="MDI">'[5]Master Data Item List'!$A$1:$S$529</definedName>
    <definedName name="_xlnm.Print_Area" localSheetId="0">Cover!$A$1:$P$46</definedName>
    <definedName name="_xlnm.Print_Area" localSheetId="10">'Monthly Core Data Measures old'!$B$10:$I$30</definedName>
    <definedName name="_xlnm.Print_Area" localSheetId="1">Notes!$A$1:$O$19</definedName>
    <definedName name="_xlnm.Print_Area" localSheetId="4">'Table 1a Field names'!$A$1:$E$26</definedName>
    <definedName name="_xlnm.Print_Area" localSheetId="2">'Version History'!$A$1:$Q$25</definedName>
    <definedName name="Table1" localSheetId="0">#REF!</definedName>
    <definedName name="Table1" localSheetId="10">#REF!</definedName>
    <definedName name="Table1">#REF!</definedName>
    <definedName name="Table2" localSheetId="0">#REF!</definedName>
    <definedName name="Table2" localSheetId="10">#REF!</definedName>
    <definedName name="Table2">#REF!</definedName>
    <definedName name="Table3" localSheetId="0">#REF!</definedName>
    <definedName name="Table3" localSheetId="10">#REF!</definedName>
    <definedName name="Table3">#REF!</definedName>
    <definedName name="Table4" localSheetId="0">#REF!</definedName>
    <definedName name="Table4" localSheetId="10">#REF!</definedName>
    <definedName name="Table4">#REF!</definedName>
    <definedName name="Table5" localSheetId="0">#REF!</definedName>
    <definedName name="Table5" localSheetId="10">#REF!</definedName>
    <definedName name="Table5">#REF!</definedName>
    <definedName name="Table6" localSheetId="0">#REF!</definedName>
    <definedName name="Table6" localSheetId="10">#REF!</definedName>
    <definedName name="Table6">#REF!</definedName>
    <definedName name="Table7" localSheetId="0">#REF!</definedName>
    <definedName name="Table7" localSheetId="10">#REF!</definedName>
    <definedName name="Table7">#REF!</definedName>
    <definedName name="Table8" localSheetId="0">#REF!</definedName>
    <definedName name="Table8" localSheetId="10">#REF!</definedName>
    <definedName name="Table8">#REF!</definedName>
    <definedName name="Table9" localSheetId="0">#REF!</definedName>
    <definedName name="Table9" localSheetId="10">#REF!</definedName>
    <definedName name="Table9">#REF!</definedName>
    <definedName name="TelNo" localSheetId="0">'[2]List of Returns'!#REF!</definedName>
    <definedName name="TelNo" localSheetId="10">'[2]List of Returns'!#REF!</definedName>
    <definedName name="TelNo">'[2]List of Returns'!#REF!</definedName>
    <definedName name="Z_02E62520_8FFE_4CDF_B8AC_A92BD76BBCA9_.wvu.FilterData" localSheetId="10" hidden="1">'Monthly Core Data Measures old'!#REF!</definedName>
    <definedName name="Z_02E62520_8FFE_4CDF_B8AC_A92BD76BBCA9_.wvu.PrintArea" localSheetId="10" hidden="1">'Monthly Core Data Measures old'!#REF!</definedName>
    <definedName name="Z_02E62520_8FFE_4CDF_B8AC_A92BD76BBCA9_.wvu.PrintTitles" localSheetId="10" hidden="1">'Monthly Core Data Measures old'!#REF!</definedName>
    <definedName name="Z_61DF60B8_FA64_45BF_89F3_5E539C3418FA_.wvu.FilterData" localSheetId="10" hidden="1">'Monthly Core Data Measures old'!#REF!</definedName>
    <definedName name="Z_61DF60B8_FA64_45BF_89F3_5E539C3418FA_.wvu.PrintTitles" localSheetId="10" hidden="1">'Monthly Core Data Measures old'!#REF!</definedName>
    <definedName name="Z_F8814E51_3463_46F9_BA26_F5B5D8B61288_.wvu.FilterData" localSheetId="10" hidden="1">'Monthly Core Data Measures old'!#REF!</definedName>
    <definedName name="Z_F8814E51_3463_46F9_BA26_F5B5D8B61288_.wvu.PrintTitles" localSheetId="10" hidden="1">'Monthly Core Data Measures old'!#REF!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8" l="1"/>
  <c r="B6" i="28"/>
  <c r="B7" i="25"/>
  <c r="B8" i="22"/>
  <c r="B5" i="21"/>
  <c r="B4" i="21"/>
  <c r="B4" i="26"/>
  <c r="B3" i="26"/>
  <c r="B6" i="25"/>
  <c r="B7" i="22"/>
  <c r="B9" i="27"/>
  <c r="B5" i="18"/>
  <c r="B8" i="17" l="1"/>
  <c r="B8" i="15" l="1"/>
  <c r="B10" i="13"/>
  <c r="B8" i="14"/>
</calcChain>
</file>

<file path=xl/sharedStrings.xml><?xml version="1.0" encoding="utf-8"?>
<sst xmlns="http://schemas.openxmlformats.org/spreadsheetml/2006/main" count="2304" uniqueCount="1182">
  <si>
    <t>Community Services Statistics</t>
  </si>
  <si>
    <t>Metadata File</t>
  </si>
  <si>
    <t>This file describes the data included in the Community Services Statistics monthly release from the Community Services Data Set (CSDS):</t>
  </si>
  <si>
    <t>Version History</t>
  </si>
  <si>
    <t>The version history of this metadata document.</t>
  </si>
  <si>
    <t>Monthly HV Data Measures</t>
  </si>
  <si>
    <t>Data Quality Measures</t>
  </si>
  <si>
    <t>Glossary</t>
  </si>
  <si>
    <t>Description of abbreviations, special terms and acronyms used in the publication.</t>
  </si>
  <si>
    <t>The CSDS data quality report is published alongside this metadata file and provides an overview of Data Quality (DQ).  Each sheet displays a particular DQ measure and is then broken down by individual DQ metrics and individual providers. The report includes VODIM (Valid, Other, Default, Invalid, Missing) tables showing metrics as counts and percentages, both nationally and by provider, for the reporting month. It also includes tables showing percentage of valid records, by data item and provider, for the reporting period.</t>
  </si>
  <si>
    <t>This publication is based on data from the CSDS. Further information about the CSDS, including technical specifications and submission dates, is available at:</t>
  </si>
  <si>
    <t>https://digital.nhs.uk/data-and-information/data-collections-and-data-sets/data-sets/community-services-data-set</t>
  </si>
  <si>
    <t>NHS Data Dictionary: CSDS
In October 2017, the CYPHS data set was renamed as the Community Services Data Set (CSDS). The CSDS supersedes the CYPHS data set, allowing all ages community data to be submitted.</t>
  </si>
  <si>
    <t>https://www.datadictionary.nhs.uk/data_sets/clinical_data_sets/community_services_data_set.html?hl=community</t>
  </si>
  <si>
    <t>Codes for NHS organisations:</t>
  </si>
  <si>
    <t>https://digital.nhs.uk/services/organisation-data-service</t>
  </si>
  <si>
    <t>Public Enquiries: Telephone: 0300 303 5678</t>
  </si>
  <si>
    <t>Press enquiries should be made to: Media Relations Manager: Telephone: 0300 303 3888</t>
  </si>
  <si>
    <t xml:space="preserve">You may re-use this document/publication (not including logos) free of charge in any format or medium, under the terms of the Open Government Licence v3.0.  </t>
  </si>
  <si>
    <t>To view this licence visit</t>
  </si>
  <si>
    <t xml:space="preserve">www.nationalarchives.gov.uk/doc/open-government-licence </t>
  </si>
  <si>
    <t>or write to the Information Policy Team, The National Archives,</t>
  </si>
  <si>
    <t xml:space="preserve"> Kew, Richmond, Surrey, TW9 4DU; </t>
  </si>
  <si>
    <t xml:space="preserve">or email: psi@nationalarchives.gsi.gov.uk </t>
  </si>
  <si>
    <t>Back to contents</t>
  </si>
  <si>
    <t>Metadata File Version History</t>
  </si>
  <si>
    <t>Version</t>
  </si>
  <si>
    <t>Date Issued</t>
  </si>
  <si>
    <t>Summary Of Changes</t>
  </si>
  <si>
    <t>1.0</t>
  </si>
  <si>
    <t>Introduction of the Children and Young People's Health Services Data Set metadata file</t>
  </si>
  <si>
    <t>Change to method of counting:
1. Referrals: Through grouping together data for a range of reporting periods it was identified that a small number of referrals were linked to multiple children due to the same referral id being used for a different child in each reporting period. To ensure that one referral can only be linked to one person the count of referrals now counts a combination of patient ID and referral ID.
2. Care contacts: Through grouping together data for a range of reporting periods it was identified that Care contact IDs were not unique across submission periods. To ensure uniqueness a count of care contacts now counts a combination of month ID and care contact ID.
3. Care activities: Through grouping together data for a range of reporting periods it was identified that Care activity IDs were not unique across submission periods. To ensure uniqueness a count of care activities now counts a combination of month ID and care activity ID.
4. Immunisations: Some Immunisations have been submitted repeatedly is each submission period. A count of immunisations now counts a combination of immunisation date, immunisation type and patient ID.</t>
  </si>
  <si>
    <t>Introduction of the field 'TotalSuccessfulSubmission' as a new monthly dimension on the CSV file</t>
  </si>
  <si>
    <t>Field 'AgeOfPatientAtReportingPeriodStart' (DQ Metadata ID = 10) has now changed to 'AgeOfPatientAtReportingPeriodEnd'</t>
  </si>
  <si>
    <t>14 new DQ measures have been added ( DQ Metadata ID: 98, 103, 104, 110, 111, 112, 113, 114, 140, 141, 142, 143, 144 &amp; 148) and amendment done to 6 of the existing DQ measures ( DQ Metadata ID: 83, 85, 87, 106, 135 &amp; 138)</t>
  </si>
  <si>
    <t>Updated to reflect Community Services Statistics for Children, Young People and Adults publication changes.</t>
  </si>
  <si>
    <t>Introduction of the following new dimensions on the CSV file :
SuccessfulSubmissions_Immunisations, SuccessfulSubmissions501, SuccessfulSubmissions502, Referrals_Children_Only and Referrals_Adult_Only</t>
  </si>
  <si>
    <t>Changed publication name from "Community Services Statistics for Children, Young People and Adults" to "Community Services Statistics" but no changes were made to the content of the file.</t>
  </si>
  <si>
    <t>2.0</t>
  </si>
  <si>
    <t>Updates for v1.5</t>
  </si>
  <si>
    <t>Please contact us via enquiries@nhsdigital.nhs.uk for earlier versions of the metadata file</t>
  </si>
  <si>
    <t>table</t>
  </si>
  <si>
    <t>Monthly CSV Dimension</t>
  </si>
  <si>
    <t>Description of dimension</t>
  </si>
  <si>
    <t>Tables used</t>
  </si>
  <si>
    <t>Counts used</t>
  </si>
  <si>
    <t>OLD Construction</t>
  </si>
  <si>
    <t>New</t>
  </si>
  <si>
    <t>HL notes</t>
  </si>
  <si>
    <t>v1.6</t>
  </si>
  <si>
    <t>(where possible dimensions are described in terms of the classes of information defined in NHS Data Dictionary)</t>
  </si>
  <si>
    <t>(in addition to the tables used for counting)</t>
  </si>
  <si>
    <t>(Any values that are constructed to be NULL are subsequently changed to 'MV/OP' in the final output)</t>
  </si>
  <si>
    <t>Construction</t>
  </si>
  <si>
    <t>table 3</t>
  </si>
  <si>
    <t>Age_CareContactDate_Gender</t>
  </si>
  <si>
    <t>Counts by Age_CareContactDate (AGE AT CARE CONTACT DATE) and Gender (PERSON STATED GENDER CODE)</t>
  </si>
  <si>
    <t>cyp001mpi, cyp201carecontact</t>
  </si>
  <si>
    <t>Care Contacts</t>
  </si>
  <si>
    <t>COUNT(distinct  cyp201carecontact.Unique_CareContactID)</t>
  </si>
  <si>
    <t>COUNT (distinct cyp201carecontact.Unique_CareContactID)</t>
  </si>
  <si>
    <t>care_contact_base_table cmd 6, line 30</t>
  </si>
  <si>
    <t>where</t>
  </si>
  <si>
    <t xml:space="preserve"> </t>
  </si>
  <si>
    <t xml:space="preserve">  cyp201carecontact.ContactDate between '$rpstart' and '$rpend'</t>
  </si>
  <si>
    <t xml:space="preserve"> and cyp201carecontact.Unique_MonthID = '$Unique_MonthID'</t>
  </si>
  <si>
    <t>cyp201carecontact.Unique_MonthID = 'Unique_MonthID' and</t>
  </si>
  <si>
    <t>GROUP BY</t>
  </si>
  <si>
    <t>cyp201carecontact.Contact_Date between  'ReportingStartDate' and 'ReportingEndDate'</t>
  </si>
  <si>
    <t>case when cyp201carecontact.AgeYr_Contact_Date between 0 and 129 and d.Gender in ('1','2','9','X') then cyp201carecontact.AgeYr_Contact_Date else 'MV/OP' end ,</t>
  </si>
  <si>
    <t>case when cyp201carecontact.AgeYr_Contact_Date between 0 and 129 and d.Gender in ('1','2','9','X') then d.Gender else 'MV/OP' end</t>
  </si>
  <si>
    <t>when cyp201carecontact.AgeYr_Contact_Date between 0 and 120</t>
  </si>
  <si>
    <t xml:space="preserve">  and cyp001mpi.Gender in ('1','2','9','X') </t>
  </si>
  <si>
    <t>then group by</t>
  </si>
  <si>
    <t>cyp201carecontact.AgeBand_Contact_Date, cyp001mpi.Gender</t>
  </si>
  <si>
    <t>else group into catch all 'MV/OP' category</t>
  </si>
  <si>
    <t>Age_CareContactDate_Group</t>
  </si>
  <si>
    <t>Counts by Age_CareContactDate (AGE AT CARE CONTACT DATE)</t>
  </si>
  <si>
    <t>cyp201carecontact</t>
  </si>
  <si>
    <t>Patient with Care Contact</t>
  </si>
  <si>
    <t>COUNT(distinct  cyp201carecontact.Person_ID)</t>
  </si>
  <si>
    <t>COUNT (distinct cyp201carecontact.Person_ID)</t>
  </si>
  <si>
    <t>care_contact_base_table cmd 6, line 27</t>
  </si>
  <si>
    <t>case when cyp201carecontact.AgeYr_Contact_Date between 0 and 129 then cyp201carecontact.AgeBand_Contact_Date else 'MV/OP' end</t>
  </si>
  <si>
    <t>when cyp201carecontact.AgeBand_Contact_Date is not Null</t>
  </si>
  <si>
    <t xml:space="preserve"> and cyp201carecontact.AgeYr_Contact_Date between 0 and 120</t>
  </si>
  <si>
    <t>then group by cyp201carecontact.AgeBand_Contact_Date</t>
  </si>
  <si>
    <t xml:space="preserve">else group into catch all 'MV/OP' category </t>
  </si>
  <si>
    <t>AgeYr_Referral_ReceivedDate</t>
  </si>
  <si>
    <t>counts of cyp101referral.Person_ID,cyp101referral.Unique_ServiceRequestID</t>
  </si>
  <si>
    <t>cyp101referral</t>
  </si>
  <si>
    <t>Patient with Referral</t>
  </si>
  <si>
    <t>COUNT(distinct  cyp101referral.Person_ID)</t>
  </si>
  <si>
    <t>COUNT (distinct cyp101referral.Person_ID)</t>
  </si>
  <si>
    <t>referral_base_table cmd 5, line 35</t>
  </si>
  <si>
    <t xml:space="preserve">  cyp101referral.ReferralRequest_ReceivedDate between '$rpstart' and '$rpend'</t>
  </si>
  <si>
    <t>sql code</t>
  </si>
  <si>
    <t xml:space="preserve"> and cyp101referral.Unique_MonthID = '$Unique_MonthID'</t>
  </si>
  <si>
    <t>cyp101referral.Unique_MonthID = 'Unique_MonthID' and</t>
  </si>
  <si>
    <t xml:space="preserve"> case when cyp101referral.AgeYr_Referral_ReceivedDate between 0 and 120 then replace(cyp101referral.AgeBand_Referral_ReceivedDate, "-", " to ") else 'MV/OP' end as  AgeYr_Referral_ReceivedDate</t>
  </si>
  <si>
    <t>cyp101referral.ReferralRequest_ReceivedDate between 'ReportingStartDate' and 'ReportingEndDate'</t>
  </si>
  <si>
    <t>case when cyp101referral.AgeYr_Referral_ReceivedDate between 0 and 129 then cyp101referral.AgeBand_Referral_ReceivedDate else 'MV/OP' end</t>
  </si>
  <si>
    <r>
      <t>GBT</t>
    </r>
    <r>
      <rPr>
        <sz val="12"/>
        <color rgb="FF000000"/>
        <rFont val="Arial"/>
        <family val="2"/>
      </rPr>
      <t>: This section is explaining what the Total plus 3 Age Group columns to the Right of the output contain.</t>
    </r>
  </si>
  <si>
    <t>when cyp101referral.AgeYr_Referral_ReceivedDate between 0 and 120</t>
  </si>
  <si>
    <t>then group by cyp101referral.AgeYr_Referral_ReceivedDate</t>
  </si>
  <si>
    <t>Count(distinct case when Age between 0 and 18 then Referrals else null end ),</t>
  </si>
  <si>
    <t>Count(distinct case when Age between 19 and 64 then Referrals else null end ),</t>
  </si>
  <si>
    <t>Count(distinct case when Age &gt;= 65 then Referrals else null end ),</t>
  </si>
  <si>
    <t>Should this be included here? or as an overarching comment/bit of guidance?</t>
  </si>
  <si>
    <t>AgeYr_Referral_ReceivedDate_Gender_Referrals</t>
  </si>
  <si>
    <t>cyp001mpi,</t>
  </si>
  <si>
    <t>Referrals</t>
  </si>
  <si>
    <t>Referral = concat(cyp101referral.Person_ID,cyp101referral.Unique_ServiceRequestID)</t>
  </si>
  <si>
    <t xml:space="preserve">left join $db_output.DimFields DimG on DimG.Field = "Gender" and DimG.Code = d.Gender and d.Gender in ('1','2','9','X') </t>
  </si>
  <si>
    <t>COUNT (distinct Referral)</t>
  </si>
  <si>
    <t xml:space="preserve"> case when cyp101referral.AgeYr_Referral_ReceivedDate between 0 and 120 and DimG.Code is not null then d.Gender else 'MV/OP' end as AYRRD_Gender,</t>
  </si>
  <si>
    <t xml:space="preserve">   coalesce(DimG.Description, 'Missing Value / Value Outside Parameters') as AYRRD_Gender_desc,</t>
  </si>
  <si>
    <t>d.Gender =$db_output.referral_person_dims d</t>
  </si>
  <si>
    <t>'AgeYr_Referral_ReceivedDate_Gender_Referrals', 'Referrals',  AgeYr_Referral_ReceivedDate_Gender_Referrals, AgeYr_Referral_ReceivedDate_Gender_desc, AYRRD_Gender, AgeYr_Referral_ReceivedDate_Gender_desc2,</t>
  </si>
  <si>
    <t>Count(distinct Referrals) as value,</t>
  </si>
  <si>
    <r>
      <t>cyp101referral.</t>
    </r>
    <r>
      <rPr>
        <b/>
        <sz val="12"/>
        <color rgb="FF000000"/>
        <rFont val="Arial"/>
        <family val="2"/>
      </rPr>
      <t>AgeBand</t>
    </r>
    <r>
      <rPr>
        <sz val="12"/>
        <color rgb="FF000000"/>
        <rFont val="Arial"/>
        <family val="2"/>
      </rPr>
      <t>_Referral_ReceivedDate, cyp001mpi.Gender</t>
    </r>
  </si>
  <si>
    <t>from csds_analysis.referral_base_table</t>
  </si>
  <si>
    <t>GROUP BY AYRRD_Gender, AgeYr_Referral_ReceivedDate_Gender_Referrals, AgeYr_Referral_ReceivedDate_Gender_desc, AgeYr_Referral_ReceivedDate_Gender_desc2, Local_Authority_Code, Local_Authority_Name, Provider_Code, Provider_Name, Region_Code, Region_Name GROUPING SETS ((AYRRD_Gender, AgeYr_Referral_ReceivedDate_Gender_Referrals, AgeYr_Referral_ReceivedDate_Gender_desc, AgeYr_Referral_ReceivedDate_Gender_desc2), (AYRRD_Gender, AgeYr_Referral_ReceivedDate_Gender_Referrals, AgeYr_Referral_ReceivedDate_Gender_desc, AgeYr_Referral_ReceivedDate_Gender_desc2, Provider_Code, Provider_Name), (AYRRD_Gender, AgeYr_Referral_ReceivedDate_Gender_Referrals, AgeYr_Referral_ReceivedDate_Gender_desc, AgeYr_Referral_ReceivedDate_Gender_desc2, Region_Code, Region_Name), (AYRRD_Gender, AgeYr_Referral_ReceivedDate_Gender_Referrals, AgeYr_Referral_ReceivedDate_Gender_desc, AgeYr_Referral_ReceivedDate_Gender_desc2, Local_Authority_Code, Local_Authority_Name))</t>
  </si>
  <si>
    <t>having value &gt; 0 UNION ALL</t>
  </si>
  <si>
    <t>AgeYr_Referral_ReceivedDate_Group_PrimaryReferralReason</t>
  </si>
  <si>
    <t>Counts by grouped Age_ServiceReferralReceivedDate (AGE AT SERVICE REFERRAL RECEIVED DATE) and ReferralReason (PRIMARY REASON FOR REFERRAL (COMMUNITY CARE))</t>
  </si>
  <si>
    <t>case when cyp101referral.AgeYr_Referral_ReceivedDate between 0 and 120 and DimRR.Code is not null then replace(cyp101referral.AgeBand_Referral_ReceivedDate, "-", " to ") else 'MV/OP' end as  AgeYr_Referral_ReceivedDate_Group_PrimaryReferralReason,</t>
  </si>
  <si>
    <t>as AgeYr_Referral_ReceivedDate_Group_PrimaryReferralReason_desc,</t>
  </si>
  <si>
    <t>&lt;&lt;&lt;To below&gt;&gt;&gt;</t>
  </si>
  <si>
    <t xml:space="preserve"> case when cyp101referral.AgeYr_Referral_ReceivedDate between 0 and 120 then coalesce(DimRR.Description, 'Missing Value / Value Outside Parameters') else 'Missing Value / Value Outside Parameters' end as AgeYr_Referral_ReceivedDate_Group_PrimaryReferralReason_desc2,</t>
  </si>
  <si>
    <t>Counts by grouped</t>
  </si>
  <si>
    <t>cyp101referral.AgeBand_Referral_ReceivedDate</t>
  </si>
  <si>
    <t>(AGE AT SERVICE REFERRAL RECEIVED DATE) and ReferralReason (PRIMARY REASON FOR REFERRAL (COMMUNITY CARE))</t>
  </si>
  <si>
    <t>when cyp101referral.PrimaryReferralReason in ('001','002','003','004','005','006','007','008','009','010','011','012','013','014','015','017','018','019','020','021','022','023','024','025','026','027','028','029','030','031','032','033','034','035','036','037','038','039','040','041','042','043','044','045','046','047','048','049','050','051','052','053','054','055','056','057','058','059','060','061','062','063','064','065','066','067','068','069','070','071','072','073','074','075','076','077','078','079','080','081','082','083','084','085','086','087','088','999') and</t>
  </si>
  <si>
    <t>cyp101referral.AgeYr_Referral_ReceivedDate between 0 and 120</t>
  </si>
  <si>
    <t>then group by cyp101referral.AgeBand_Referral_ReceivedDate, cyp101referral.PrimaryReferralReason</t>
  </si>
  <si>
    <t>ConsultType</t>
  </si>
  <si>
    <t>Counts by ConsultType (CONSULTATION TYPE)</t>
  </si>
  <si>
    <t>case</t>
  </si>
  <si>
    <t xml:space="preserve">  when CYP201.ConsultType in ('01','02') then CYP201.ConsultType</t>
  </si>
  <si>
    <t xml:space="preserve">  else NULL</t>
  </si>
  <si>
    <t xml:space="preserve"> end as Measure</t>
  </si>
  <si>
    <t>group by</t>
  </si>
  <si>
    <t xml:space="preserve">  when cyp201carecontact.Consultation_Type in ('01','02') then cyp201carecontact.Consultation_Type</t>
  </si>
  <si>
    <t xml:space="preserve">  else group into catch all 'MV/OP' category </t>
  </si>
  <si>
    <t>ConsultType_AttendCode_Group</t>
  </si>
  <si>
    <t>Counts by grouped ConsultType (CONSULTATION TYPE) and grouped AttendCode (ATTENDED OR DID NOT ATTEND CODE)</t>
  </si>
  <si>
    <t>AttendOrNotCalc is derived to group AttendanceStatus codes</t>
  </si>
  <si>
    <t xml:space="preserve">  when CYP201.AttendCode is NULL</t>
  </si>
  <si>
    <t>case when cyp201carecontact.AttendanceStatus in ('5', '6') then '1'</t>
  </si>
  <si>
    <t xml:space="preserve">  or CYP201.AttendCode not in ('2','3','4','5','6','7')</t>
  </si>
  <si>
    <t xml:space="preserve">       when cyp201carecontact.AttendanceStatus in ('3', '7') then '2'</t>
  </si>
  <si>
    <t xml:space="preserve">  or CYP201.ConsultType is NULL</t>
  </si>
  <si>
    <t xml:space="preserve">       when cyp201carecontact.AttendanceStatus = '2' then '3'</t>
  </si>
  <si>
    <t xml:space="preserve">  or CYP201.ConsultType not in ('01','02') then NULL</t>
  </si>
  <si>
    <t xml:space="preserve">       when cyp201carecontact.AttendanceStatus = '4' then '4'</t>
  </si>
  <si>
    <t xml:space="preserve">  else CYP201.ConsultType</t>
  </si>
  <si>
    <t xml:space="preserve">   else 'MV/OP' end as AttendOrNotCalc</t>
  </si>
  <si>
    <t xml:space="preserve"> end as Measure,</t>
  </si>
  <si>
    <t xml:space="preserve"> case</t>
  </si>
  <si>
    <t xml:space="preserve">  when CYP201.AttendCode = '5'</t>
  </si>
  <si>
    <t xml:space="preserve">  or CYP201.AttendCode = '6' then '1'</t>
  </si>
  <si>
    <t xml:space="preserve">  when cyp201carecontact.Consultation_Type in ('01','02')</t>
  </si>
  <si>
    <t xml:space="preserve">  when CYP201.AttendCode = '3'</t>
  </si>
  <si>
    <t xml:space="preserve">    and AttendOrNotCalc in ('1','2','3','4')</t>
  </si>
  <si>
    <t xml:space="preserve">  or CYP201.AttendCode = '7' then '2'</t>
  </si>
  <si>
    <t xml:space="preserve">  when CYP201.AttendCode = '2' then '3'</t>
  </si>
  <si>
    <t>cyp201carecontact.Consultation_Type, AttendOrNotCalc</t>
  </si>
  <si>
    <t xml:space="preserve">  when CYP201.AttendCode = '4' then '4'</t>
  </si>
  <si>
    <t xml:space="preserve"> end as Measure2</t>
  </si>
  <si>
    <t>Gender</t>
  </si>
  <si>
    <t>Counts by Gender (PERSON STATED GENDER CODE)</t>
  </si>
  <si>
    <t>Patient with Care Contact,</t>
  </si>
  <si>
    <t>&lt;COUNT as detailed for Construction for 'Patient with Care Contact' OR 'Patient with Referral' in Table4&gt;</t>
  </si>
  <si>
    <t>cyp101referral OR</t>
  </si>
  <si>
    <t xml:space="preserve">  when CYP001.Gender in ('1','2','9','X') then CYP001.Gender</t>
  </si>
  <si>
    <t xml:space="preserve">  when cyp001mpi.Gender in ('1','2','9','X')</t>
  </si>
  <si>
    <t>then grou pby cyp001mpi.Gender</t>
  </si>
  <si>
    <t xml:space="preserve">  else group into catch all 'MV/OP' category</t>
  </si>
  <si>
    <t>PrimaryReferralReason</t>
  </si>
  <si>
    <t>Counts by ReferralReason (PRIMARY REASON FOR REFERRAL (COMMUNITY CARE))</t>
  </si>
  <si>
    <t>Case when CYP101.ReferralReason not in ('001','002','003','004','005','006','007','008','009','010','011','012','013','014','015','017','018','019','020','021','022','023','024','025','026','027','028','029','030','031','032','033','034','035','036','037','038','039','040','041','042','043','044','045','046','047','048','049','050','051','052','053','054','055','056','057','058','059','060','061','062','063','064','065','066','067','068','069','070','071','072','073','074','075','076','077','078','079','080','081','082','083','084','085','086','087','088','999') then NULL</t>
  </si>
  <si>
    <t>left join $db_output.DimFields DimRR on DimRR.Field = "PrimaryReferralReason" and DimRR.Code = cyp101referral.PrimaryReferralReason and cyp101referral.PrimaryReferralReason in ('001','002','003','004','005','006','007','008','009','010','011','012','013','014','015','017','018','019','020','021','022','023','024','025','026','027','028','029','030','031','032','033','034','035','036','037','038','039','040','041','042','043','044','045','046','047','048','049','050','051','052','053','054','055','056','057','058','059','060','061','062','063','064','065','066','067','068','069','070','071','072','073','074','075','076','077','078','079','080','081','082','083','084','085','086','087','088','999')</t>
  </si>
  <si>
    <t>else CYP101.ReferralReason</t>
  </si>
  <si>
    <t>end as Measure</t>
  </si>
  <si>
    <t>when cyp101referral.PrimaryReferralReason in ('001','002','003','004','005','006','007','008','009','010','011','012','013','014','015','017','018','019','020','021','022','023','024','025','026','027','028','029','030','031','032','033','034','035','036','037','038','039','040','041','042','043','044','045','046','047','048','049','050','051','052','053','054','055','056','057','058','059','060','061','062','063','064','065','066','067','068','069','070','071','072','073','074','075','076','077','078','079','080','081','082','083','084','085','086','087','088','999')</t>
  </si>
  <si>
    <t>then group by  cyp101referral.PrimaryReferralReason</t>
  </si>
  <si>
    <t>new</t>
  </si>
  <si>
    <t>ServiceType</t>
  </si>
  <si>
    <t>cyp102servicetypereferredto,</t>
  </si>
  <si>
    <t>Unique Care Contacts</t>
  </si>
  <si>
    <t>UniqueCareContacts = concat(cyp201carecontact.Person_ID, cyp201carecontact.Unique_ServiceRequestID, cyp201carecontact.Contact_Date)</t>
  </si>
  <si>
    <t>where cyp201carecontact.Unique_MonthID = 'Unique_MonthID' and</t>
  </si>
  <si>
    <t xml:space="preserve">      cyp201carecontact.Contact_Date between  'ReportingStartDate' and 'ReportingEndDate'</t>
  </si>
  <si>
    <t xml:space="preserve">when cyp102servicetypereferredto.TeamType in ('01','02','03','04','05','06','07','08','09','10','11','12','13','14','15','16','17','18','19','20','21','23','24','25','26','27','29','30','31','32','33','34','35','36','37','38','39','40','41','42','43','44','45','46','47','48','49','50','51','52','53','54','55','56','57','58')  </t>
  </si>
  <si>
    <t>then group by  cyp102servicetypereferredto.TeamType</t>
  </si>
  <si>
    <t>TotalCareActivities</t>
  </si>
  <si>
    <t>cyp201carecontact,</t>
  </si>
  <si>
    <t>Care Activities</t>
  </si>
  <si>
    <t>COUNT (distinct cyp202careactivity.Unique_CareActivityID)</t>
  </si>
  <si>
    <t>case when DimAT.Code is not null then cyp202careactivity.Activity_Type else 'MV/OP' end as ActivityType,</t>
  </si>
  <si>
    <t>cyp202careactivity</t>
  </si>
  <si>
    <t>left join $db_output.DimFields DimAT on DimAT.Field = "Activity_Type" and DimAT.Code = cyp202careactivity.Activity_Type and cyp202careactivity.Activity_Type in ('01','02','03','04','05','06','07','08','09','10','11','12','97')</t>
  </si>
  <si>
    <t>cyp201carecontact.Contact_Date between 'ReportingStartDate' and 'ReportingEndDate'</t>
  </si>
  <si>
    <t>TotalCareContacts</t>
  </si>
  <si>
    <t>TotalOrganisation</t>
  </si>
  <si>
    <r>
      <t>Number of organisations successfully submitting (</t>
    </r>
    <r>
      <rPr>
        <sz val="12"/>
        <color rgb="FF4472C4"/>
        <rFont val="Arial"/>
        <family val="2"/>
      </rPr>
      <t>Provider_Code</t>
    </r>
    <r>
      <rPr>
        <sz val="12"/>
        <color rgb="FF000000"/>
        <rFont val="Arial"/>
        <family val="2"/>
      </rPr>
      <t>)</t>
    </r>
  </si>
  <si>
    <t>COUNT (distinct cyp000header.OrgID_Provider)</t>
  </si>
  <si>
    <t xml:space="preserve">cyp000header.Unique_MonthID = 'Unique_MonthID' </t>
  </si>
  <si>
    <t>TotalPatientWithCareContact</t>
  </si>
  <si>
    <t>TotalPatientWithCareContactAndGender</t>
  </si>
  <si>
    <t>Patient with Care Contact and Gender</t>
  </si>
  <si>
    <t>cyp201carecontact.Contact_Date between  'ReportingStartDate' and 'ReportingEndDate' and</t>
  </si>
  <si>
    <t xml:space="preserve">cyp001mpi.Gender in ('1','2','9','X') </t>
  </si>
  <si>
    <t>TotalPatientWithReferralAndGender</t>
  </si>
  <si>
    <t>Patient with Referral and Gender</t>
  </si>
  <si>
    <t>case when DimG.Code is not null then cyp101referral.Person_ID else null end as PatientWithReferralAndGender,</t>
  </si>
  <si>
    <t>'TotalPatientWithReferralAndGender', 'PatientWithReferralAndGender',  TotalPatientWithReferralAndGender, '', '', '',</t>
  </si>
  <si>
    <t>Count(distinct PatientWithReferralAndGender) as value,</t>
  </si>
  <si>
    <t>cyp101referral.ReferralRequest_ReceivedDate between 'ReportingStartDate' and 'ReportingEndDate' and</t>
  </si>
  <si>
    <t>Count(distinct case when Age between 0 and 18 then PatientWithReferralAndGender else null end ),</t>
  </si>
  <si>
    <t>Count(distinct case when Age between 19 and 64 then PatientWithReferralAndGender else null end ),</t>
  </si>
  <si>
    <t>Count(distinct case when Age &gt;= 65 then PatientWithReferralAndGender else null end ),</t>
  </si>
  <si>
    <t>ActivityType</t>
  </si>
  <si>
    <t>Counts by ActivityCode  (ACTIVITY_TYPE CODE)</t>
  </si>
  <si>
    <t>care_activity_base_table</t>
  </si>
  <si>
    <t xml:space="preserve">  when CYP202.ActivityCode in ('01','02','03','04','05','06','07','08','09','10','11','12','97') then CYP202.ActivityCode</t>
  </si>
  <si>
    <t>cmd 5 line 19</t>
  </si>
  <si>
    <t>(checked dimension table in cmd 5)</t>
  </si>
  <si>
    <t xml:space="preserve">  when cyp202careactivity.Activity_Type in ('01','02','03','04','05','06','07','08','09','10','11','12','97') then CYP202.ActivityCode</t>
  </si>
  <si>
    <t>AttendCode_Group</t>
  </si>
  <si>
    <t>Counts by grouped AttendCode (ATTENDORNOT code)</t>
  </si>
  <si>
    <t xml:space="preserve">  when AttendOrNotCalc in ('1','2','3','4')</t>
  </si>
  <si>
    <t>then group by AttendOrNotCalc</t>
  </si>
  <si>
    <t>ConsultationMedium</t>
  </si>
  <si>
    <t>Counts by Medium (CONSULTATION MEDIUM USED)</t>
  </si>
  <si>
    <t>Consultation_MediumUsed</t>
  </si>
  <si>
    <t>Case when cyp201carecontact.ConsMechanism in ('01','02','03','04','05','06','98') then cyp201carecontact.ConsMechanism ELSE MV/OP END AS MEASURE</t>
  </si>
  <si>
    <t xml:space="preserve">  when CYP201.Medium in ('01','02','03','04','05','06','98') then CYP201.Medium</t>
  </si>
  <si>
    <r>
      <t>GBT</t>
    </r>
    <r>
      <rPr>
        <sz val="12"/>
        <color rgb="FF000000"/>
        <rFont val="Arial"/>
        <family val="2"/>
      </rPr>
      <t>: codes have changed for v1.6 - these are v1.6 codes included here</t>
    </r>
  </si>
  <si>
    <t>MEASURE_DESC</t>
  </si>
  <si>
    <t>1=‘Face to face communication’</t>
  </si>
  <si>
    <t>2=‘Telephone’</t>
  </si>
  <si>
    <t>3 =‘Telemedicine’</t>
  </si>
  <si>
    <t xml:space="preserve"> when cyp201carecontact.ConsMechanism  in ('01','02','04','05','09','10','11','12','13','98')</t>
  </si>
  <si>
    <t>4 = ‘Talk type for a person unable to speak’</t>
  </si>
  <si>
    <t xml:space="preserve">then group by cyp201carecontact.ConsMechanism </t>
  </si>
  <si>
    <t>5 = ‘Email’</t>
  </si>
  <si>
    <t>6 = ‘Short Message Service (SMS) - Text Messaging’</t>
  </si>
  <si>
    <t>98 = ‘Other (not listed)’</t>
  </si>
  <si>
    <t>MV/OP =‘Missing Value / Value Outside Parameters’</t>
  </si>
  <si>
    <t>TotalPatientWithReferral</t>
  </si>
  <si>
    <t>counts by Person_ID</t>
  </si>
  <si>
    <t>Visual studio</t>
  </si>
  <si>
    <t>referral base tabe</t>
  </si>
  <si>
    <t>line 51</t>
  </si>
  <si>
    <t>TotalReferrals</t>
  </si>
  <si>
    <t>counts by cyp101referral.Person_ID and cyp101referral.Unique_ServiceRequestID</t>
  </si>
  <si>
    <t>line 49</t>
  </si>
  <si>
    <t>concat(cyp101referral.Person_ID,cyp101referral.Unique_ServiceRequestID) as Referrals</t>
  </si>
  <si>
    <t>'TotalReferrals', 'Referrals',  TotalReferrals, '', '', '',</t>
  </si>
  <si>
    <t>AgeYr_Referral_ReceivedDate_Gender_PatientWithReferrals</t>
  </si>
  <si>
    <t>Counts by Age_ServiceReferralReceivedDate (AGE AT SERVICE REFERRAL RECEIVED DATE) and Gender (PERSON STATED GENDER CODE)</t>
  </si>
  <si>
    <t>cyp001mpi, cyp101referral</t>
  </si>
  <si>
    <t xml:space="preserve">  when CYP101.Age_ServiceReferralReceivedDate not between 0 and 120</t>
  </si>
  <si>
    <t xml:space="preserve">  or CYP101.Age_ServiceReferralReceivedDate is null</t>
  </si>
  <si>
    <t>DimG.Code = GenderCode</t>
  </si>
  <si>
    <t xml:space="preserve">  or CYP001.Gender is NULL</t>
  </si>
  <si>
    <t xml:space="preserve">  or CYP001.Gender not in ('1','2','9','X') then NULL</t>
  </si>
  <si>
    <t>'AgeYr_Referral_ReceivedDate_Gender_PatientWithReferrals', 'PatientWithReferral',  AgeYr_Referral_ReceivedDate_Gender_PatientWithReferrals, AgeYr_Referral_ReceivedDate_Gender_desc, AYRRD_Gender, AgeYr_Referral_ReceivedDate_Gender_desc2,</t>
  </si>
  <si>
    <t xml:space="preserve">  when CYP101.Age_ServiceReferralReceivedDate between 0 and 4 then "1"</t>
  </si>
  <si>
    <t>Count(distinct PatientWithReferral) as value,</t>
  </si>
  <si>
    <t xml:space="preserve">  when CYP101.Age_ServiceReferralReceivedDate between 5 and 9 then "2"</t>
  </si>
  <si>
    <t>Count(distinct case when Age between 0 and 18 then PatientWithReferral else null end ),</t>
  </si>
  <si>
    <t xml:space="preserve">  when CYP101.Age_ServiceReferralReceivedDate between 10 and 14 then "3"</t>
  </si>
  <si>
    <t>and cyp001mpi.Gender in ('1','2','9','X')</t>
  </si>
  <si>
    <t>Count(distinct case when Age between 19 and 64 then PatientWithReferral else null end ),</t>
  </si>
  <si>
    <t xml:space="preserve">  when CYP101.Age_ServiceReferralReceivedDate between 15 and 18 then "4"</t>
  </si>
  <si>
    <r>
      <t>then group by cyp101referral.Age</t>
    </r>
    <r>
      <rPr>
        <b/>
        <sz val="12"/>
        <color rgb="FF000000"/>
        <rFont val="Arial"/>
        <family val="2"/>
      </rPr>
      <t>Band</t>
    </r>
    <r>
      <rPr>
        <sz val="12"/>
        <color rgb="FF000000"/>
        <rFont val="Arial"/>
        <family val="2"/>
      </rPr>
      <t>_Referral_ReceivedDate, cyp001mpi.Gender</t>
    </r>
  </si>
  <si>
    <t>Count(distinct case when Age &gt;= 65 then PatientWithReferral else null end ),</t>
  </si>
  <si>
    <t xml:space="preserve">  when CYP101.Age_ServiceReferralReceivedDate between 19 and 24 then "5"</t>
  </si>
  <si>
    <t xml:space="preserve">  when CYP101.Age_ServiceReferralReceivedDate between 25 and 29 then "6"</t>
  </si>
  <si>
    <t xml:space="preserve">  when CYP101.Age_ServiceReferralReceivedDate between 30 and 34 then "7"</t>
  </si>
  <si>
    <t xml:space="preserve">  when CYP101.Age_ServiceReferralReceivedDate between 35 and 39 then "8"</t>
  </si>
  <si>
    <t xml:space="preserve">  when CYP101.Age_ServiceReferralReceivedDate between 40 and 44 then "9"</t>
  </si>
  <si>
    <t xml:space="preserve">  when CYP101.Age_ServiceReferralReceivedDate between 45 and 49 then "10"</t>
  </si>
  <si>
    <t xml:space="preserve">  when CYP101.Age_ServiceReferralReceivedDate between 50 and 54 then "11"</t>
  </si>
  <si>
    <t xml:space="preserve">  when CYP101.Age_ServiceReferralReceivedDate between 55 and 59 then "12"</t>
  </si>
  <si>
    <t xml:space="preserve">  when CYP101.Age_ServiceReferralReceivedDate between 60 and 64 then "13"</t>
  </si>
  <si>
    <t xml:space="preserve">  when CYP101.Age_ServiceReferralReceivedDate between 65 and 69 then "14"</t>
  </si>
  <si>
    <t xml:space="preserve">  when CYP101.Age_ServiceReferralReceivedDate between 70 and 74 then "15"</t>
  </si>
  <si>
    <t xml:space="preserve">  when CYP101.Age_ServiceReferralReceivedDate between 75 and 79 then "16"</t>
  </si>
  <si>
    <t xml:space="preserve">  when CYP101.Age_ServiceReferralReceivedDate between 80 and 84 then "17"</t>
  </si>
  <si>
    <t xml:space="preserve">  when CYP101.Age_ServiceReferralReceivedDate between 85 and 120 then "18"</t>
  </si>
  <si>
    <t xml:space="preserve">  else CYP001.Gender</t>
  </si>
  <si>
    <t>SourceOfReferral</t>
  </si>
  <si>
    <t>Counts by ReferralSource (SOURCE OF REFERRAL FOR COMMUNITY)</t>
  </si>
  <si>
    <t>COUNT (distinct concat(cyp101referral.Person_ID,cyp101referral.Unique_ServiceRequestID))</t>
  </si>
  <si>
    <t>SourceOfReferral', 'Referrals',  SourceOfReferral, SourceOfReferral_desc, '', '',</t>
  </si>
  <si>
    <t>Group by</t>
  </si>
  <si>
    <t xml:space="preserve">    when cyp101referral.SourceOfReferral in ('01','02','03','04','05','06','07','08','09','10','11','12','13','14','15','16','17','18','19','20','21','22','23','99') then cyp101referral.SourceOfReferral</t>
  </si>
  <si>
    <t>left join $db_output.DimFields DimSR on DimSR.Field = "SourceOfReferral" and DimSR.Code = cyp101referral.SourceOfReferral</t>
  </si>
  <si>
    <t xml:space="preserve">    else 'MV/OP'</t>
  </si>
  <si>
    <r>
      <t xml:space="preserve">    when cyp101referral.SourceOfReferral in ('01','02','03','04','05','06','07','08','09','10','11','12','13','14','15','16','17','18','19','20','21','22','23',</t>
    </r>
    <r>
      <rPr>
        <b/>
        <sz val="12"/>
        <color rgb="FFFF0000"/>
        <rFont val="Arial"/>
        <family val="2"/>
      </rPr>
      <t>'24'</t>
    </r>
    <r>
      <rPr>
        <b/>
        <sz val="12"/>
        <color rgb="FF000000"/>
        <rFont val="Arial"/>
        <family val="2"/>
      </rPr>
      <t>,'99')</t>
    </r>
  </si>
  <si>
    <t xml:space="preserve"> and cyp101referral.SourceOfReferral in ('01','02','03','04','05','06','07','08','09','10','11','12','13','14','15','16','17','18','19','20','21','22','23','99')</t>
  </si>
  <si>
    <t xml:space="preserve">  end</t>
  </si>
  <si>
    <t>then group by cyp101referral.SourceOfReferral</t>
  </si>
  <si>
    <t xml:space="preserve">    as SourceOfReferral</t>
  </si>
  <si>
    <r>
      <t>GBT: new code  "</t>
    </r>
    <r>
      <rPr>
        <b/>
        <sz val="12"/>
        <color rgb="FFFF0000"/>
        <rFont val="Arial"/>
        <family val="2"/>
      </rPr>
      <t>24</t>
    </r>
    <r>
      <rPr>
        <b/>
        <sz val="12"/>
        <color rgb="FF000000"/>
        <rFont val="Arial"/>
        <family val="2"/>
      </rPr>
      <t>", "Pharmacy" added in for v1.6</t>
    </r>
  </si>
  <si>
    <t>Table 4: Counts: A definition of each different type of count used in this publication</t>
  </si>
  <si>
    <t>Monthly CSV Count Of</t>
  </si>
  <si>
    <t>Description of count ***</t>
  </si>
  <si>
    <r>
      <t xml:space="preserve">Dimensions used </t>
    </r>
    <r>
      <rPr>
        <sz val="11"/>
        <color rgb="FF000000"/>
        <rFont val="Arial"/>
        <family val="2"/>
      </rPr>
      <t>**</t>
    </r>
  </si>
  <si>
    <t>Construction (original)</t>
  </si>
  <si>
    <t>Construction (revised: GBT) - full table names</t>
  </si>
  <si>
    <t>(in addition to the tables used in the measure)</t>
  </si>
  <si>
    <t>Count of care activities that occurred at a care contact which took place in the current period</t>
  </si>
  <si>
    <t>cyp201carecontact, cyp202careactivity</t>
  </si>
  <si>
    <t xml:space="preserve">ActivityCode </t>
  </si>
  <si>
    <t>count (distinct concat(CYP202.RecordStartDate, CYP202.UniqueCareActivity_ID))</t>
  </si>
  <si>
    <t>careactivity_base_table</t>
  </si>
  <si>
    <t>ActivityType,</t>
  </si>
  <si>
    <t xml:space="preserve"> CYP201.CContactDate between @rep_start_period and @rep_end_period</t>
  </si>
  <si>
    <t xml:space="preserve"> and CYP202.RecordStartDate between @rep_start_period and @rep_end_period</t>
  </si>
  <si>
    <t xml:space="preserve">  </t>
  </si>
  <si>
    <t>Count of care contacts which took place in the current period</t>
  </si>
  <si>
    <t>Age_CareContactDate_Gender,</t>
  </si>
  <si>
    <t>COUNT (distinct concat(CYP201.RecordStartDate, CYP201.UniqueCareContact_ID))</t>
  </si>
  <si>
    <t>carecontact_base_table</t>
  </si>
  <si>
    <t>AttendCode_Group,</t>
  </si>
  <si>
    <t>ConsultType,</t>
  </si>
  <si>
    <t>ConsultType_AttendCode_Group,</t>
  </si>
  <si>
    <t xml:space="preserve"> and CYP201.RecordStartDate between @rep_start_period and @rep_end_period</t>
  </si>
  <si>
    <t>Count of patients that had a care contact which took place in the current period</t>
  </si>
  <si>
    <t>Age_CareContactDate_Group,</t>
  </si>
  <si>
    <t>COUNT (distinct CYP201.UniqueCYPHS_ID_Patient)</t>
  </si>
  <si>
    <t xml:space="preserve">Gender, </t>
  </si>
  <si>
    <t>Count of patients that had gender recorded and a care contact which took place in the current period</t>
  </si>
  <si>
    <t xml:space="preserve"> and CYP001.Gender in ('1','2','9','X')</t>
  </si>
  <si>
    <t>Count of patients that had a referral which was received in the current period</t>
  </si>
  <si>
    <t>Age_ServiceReferralReceivedDate-Gender,</t>
  </si>
  <si>
    <t>COUNT (distinct CYP101.UniqueCYPHS_ID_Patient)</t>
  </si>
  <si>
    <t>referral_base_table</t>
  </si>
  <si>
    <t>Age_ServiceReferralReceivedDate-Group,</t>
  </si>
  <si>
    <r>
      <t>AgeYr_Referral_ReceivedDate</t>
    </r>
    <r>
      <rPr>
        <sz val="11"/>
        <color rgb="FF000000"/>
        <rFont val="Arial"/>
        <family val="2"/>
      </rPr>
      <t xml:space="preserve">, </t>
    </r>
  </si>
  <si>
    <t xml:space="preserve"> CYP101.ReferralDate between @rep_start_period and @rep_end_period</t>
  </si>
  <si>
    <r>
      <t>AgeYr_Referral_ReceivedDate_Gender_PatientWithReferrals</t>
    </r>
    <r>
      <rPr>
        <sz val="11"/>
        <color rgb="FF000000"/>
        <rFont val="Arial"/>
        <family val="2"/>
      </rPr>
      <t>,</t>
    </r>
  </si>
  <si>
    <t xml:space="preserve"> and CYP101.RecordStartDate between @rep_start_period and @rep_end_period</t>
  </si>
  <si>
    <t>Gender,</t>
  </si>
  <si>
    <t>Gender-Age_ServiceReferralReceivedDate-Group</t>
  </si>
  <si>
    <t>Count of patients that had gender recorded and a referral which was received in the current period</t>
  </si>
  <si>
    <t>Totals</t>
  </si>
  <si>
    <t>case when DimG.Code is not null then cyp101referral.Person_ID else null end as PatientWithReferralAndGender,  -- i.e. if a Person appears in the referral table with a Gender specified then they must be a Person with a Referral &amp; a Gender in the data!</t>
  </si>
  <si>
    <t>cyp001mpi.Gender in ('1','2','9','X')</t>
  </si>
  <si>
    <r>
      <t xml:space="preserve">Organisations (Provider_Code) </t>
    </r>
    <r>
      <rPr>
        <b/>
        <sz val="11"/>
        <color rgb="FF000000"/>
        <rFont val="Arial"/>
        <family val="2"/>
      </rPr>
      <t>*</t>
    </r>
  </si>
  <si>
    <t>Count of organisations in the current period</t>
  </si>
  <si>
    <t>cyp000header</t>
  </si>
  <si>
    <t>Organisations</t>
  </si>
  <si>
    <t>COUNT (distinct CYP000.OrgCodeProv)</t>
  </si>
  <si>
    <t>header_base_table</t>
  </si>
  <si>
    <t xml:space="preserve"> CYP000.RPStartDate between @rep_start_period and @rep_end_period</t>
  </si>
  <si>
    <t>Count of referrals which were received in the current period</t>
  </si>
  <si>
    <t>COUNT (distinct concat(CYP101.UniqueCYPHS_ID_Patient, CYP101.UniqueServiceReq_ID)</t>
  </si>
  <si>
    <t>Age_ServiceReferralReceivedDate-Group-ReferralReason,</t>
  </si>
  <si>
    <r>
      <t>AgeYr_Referral_ReceivedDate_Gender_Referrals</t>
    </r>
    <r>
      <rPr>
        <sz val="11"/>
        <color rgb="FF000000"/>
        <rFont val="Arial"/>
        <family val="2"/>
      </rPr>
      <t>,</t>
    </r>
  </si>
  <si>
    <r>
      <t>AgeYr_Referral_ReceivedDate_Group_PrimaryReferralReason</t>
    </r>
    <r>
      <rPr>
        <sz val="11"/>
        <color rgb="FF000000"/>
        <rFont val="Arial"/>
        <family val="2"/>
      </rPr>
      <t>,</t>
    </r>
  </si>
  <si>
    <r>
      <t>PrimaryReferralReason</t>
    </r>
    <r>
      <rPr>
        <sz val="11"/>
        <color rgb="FF000000"/>
        <rFont val="Arial"/>
        <family val="2"/>
      </rPr>
      <t>,</t>
    </r>
  </si>
  <si>
    <t>ReferralReason,</t>
  </si>
  <si>
    <t>ReferralSource,</t>
  </si>
  <si>
    <r>
      <t>SourceOfReferral</t>
    </r>
    <r>
      <rPr>
        <sz val="11"/>
        <color rgb="FF000000"/>
        <rFont val="Arial"/>
        <family val="2"/>
      </rPr>
      <t>,</t>
    </r>
  </si>
  <si>
    <t>team_type_base_table</t>
  </si>
  <si>
    <t>Publication</t>
  </si>
  <si>
    <t xml:space="preserve">Count of </t>
  </si>
  <si>
    <t>Notes</t>
  </si>
  <si>
    <t>REPORTING_PERIOD_START</t>
  </si>
  <si>
    <t>REPORTING_PERIOD_END</t>
  </si>
  <si>
    <t>ORG_CODE</t>
  </si>
  <si>
    <t>ORG_NAME</t>
  </si>
  <si>
    <t>ORG_LEVEL</t>
  </si>
  <si>
    <t>DIMENSION</t>
  </si>
  <si>
    <t>COUNT_OF</t>
  </si>
  <si>
    <t>MEASURE</t>
  </si>
  <si>
    <t>MEASURE_2</t>
  </si>
  <si>
    <t>Monthly</t>
  </si>
  <si>
    <t>CS01</t>
  </si>
  <si>
    <t>Total number of referrals submitted within the current period for people aged under 19</t>
  </si>
  <si>
    <t>Total number of referrals submitted within the current period for people aged between 19 and 64</t>
  </si>
  <si>
    <t>Total number of referrals submitted within the current period for people aged over 64</t>
  </si>
  <si>
    <t>CS02</t>
  </si>
  <si>
    <t>PatientWithReferral</t>
  </si>
  <si>
    <t>CS03</t>
  </si>
  <si>
    <t>PatientWithReferralAndGender</t>
  </si>
  <si>
    <t>CS04</t>
  </si>
  <si>
    <t>CareContacts</t>
  </si>
  <si>
    <t>Total number of care contacts within the current period for people aged under 19</t>
  </si>
  <si>
    <t>Total number of care contacts submitted within the current period for people aged over 64</t>
  </si>
  <si>
    <t>CS05</t>
  </si>
  <si>
    <t>PatientWithCareContact</t>
  </si>
  <si>
    <t>Total number of care contacts submitted within the current period from people aged between 19 and 64</t>
  </si>
  <si>
    <t>Total number of care contacts submitted within the current period from people aged over 64</t>
  </si>
  <si>
    <t>PatientWithCareContactAndGender</t>
  </si>
  <si>
    <t>Monthly Data Measures Metadata</t>
  </si>
  <si>
    <t>These tables contain information about the accompanying CSV files. They contain information and definitions that will aid in the understanding of the data contained throughout the CSDS publication. These tables must be used in conjunction with each other and the Technical Output Specification in order to fully define the data. There are three tables:</t>
  </si>
  <si>
    <t>Table 1: Fields: A broad description of each field within the CSDS CSV file</t>
  </si>
  <si>
    <t>Table 2: Fields: A broad description of each field within the CSDS HV file</t>
  </si>
  <si>
    <t>Table 3: Dimensions: The definition of each dimension within this publication.</t>
  </si>
  <si>
    <t>Where a dimension is made up of more than one measure, it is considered to be missing or outside reporting parameters if any of the measures contained within the dimension are missing or outside reporting parameters. (E.g. In the Age_CareContactDate-Gender dimension, if either Age_CareContactDate or Gender (or both) have been submitted missing or outside reporting parameters, these have been grouped into the missing or outside reporting parameters total.)</t>
  </si>
  <si>
    <t>Where a data item is submitted twice with different values in a single period it may be counted twice in breakdowns that involve the data item (e.g. if Gender is submitted once as a Male and once as Unknown). In these cases, the sum of the values of these breakdowns may be higher than the comparative 'Total' data item.</t>
  </si>
  <si>
    <t>Monthly CSV data file field name</t>
  </si>
  <si>
    <t>Description of field</t>
  </si>
  <si>
    <t>Beginning of the submission and reporting period.</t>
  </si>
  <si>
    <t>End of the submission and reporting period.</t>
  </si>
  <si>
    <t>The code (code of provider) of the organisation that the measures relate to.</t>
  </si>
  <si>
    <t>OrgCode_Prov (where Organisation_Level is 'Trust')
Where Organisation_Level is not 'Trust', OrgCode_Prov has been mapped to the appropriate geography.</t>
  </si>
  <si>
    <t>The name of the organisation that the measures relate to</t>
  </si>
  <si>
    <t>The geographical level that the organisation belongs to.</t>
  </si>
  <si>
    <t>A description of the field(s) that the measures relate to</t>
  </si>
  <si>
    <t>A description of the field that is being counted</t>
  </si>
  <si>
    <t>The values that can occur from the related dimension construction</t>
  </si>
  <si>
    <t>Where required, The description of the above measure</t>
  </si>
  <si>
    <t>MEASURE_2_DESC</t>
  </si>
  <si>
    <t>MEASURE_VALUE</t>
  </si>
  <si>
    <t>A count, based on the above information</t>
  </si>
  <si>
    <t>MEASURE_VALUE_0_18</t>
  </si>
  <si>
    <t>A count, based on the above information for patients aged 0-18 years</t>
  </si>
  <si>
    <t>MEASURE_VALUE_19_64</t>
  </si>
  <si>
    <t>A count, based on the above information for patients aged between 19 and 64 years</t>
  </si>
  <si>
    <t>MEASURE_VALUE_65_PLUS</t>
  </si>
  <si>
    <t>A count, based on the above information for patients aged 65 years or older</t>
  </si>
  <si>
    <r>
      <t xml:space="preserve">Description of dimension
</t>
    </r>
    <r>
      <rPr>
        <sz val="11"/>
        <color theme="1"/>
        <rFont val="Arial"/>
        <family val="2"/>
      </rPr>
      <t xml:space="preserve">(where possible dimensions are described in terms of the classes of information defined in </t>
    </r>
    <r>
      <rPr>
        <u/>
        <sz val="11"/>
        <color theme="1"/>
        <rFont val="Arial"/>
        <family val="2"/>
      </rPr>
      <t>NHS Data Dictionary</t>
    </r>
    <r>
      <rPr>
        <sz val="11"/>
        <color theme="1"/>
        <rFont val="Arial"/>
        <family val="2"/>
      </rPr>
      <t>)</t>
    </r>
  </si>
  <si>
    <r>
      <t xml:space="preserve">Tables used 
</t>
    </r>
    <r>
      <rPr>
        <sz val="11"/>
        <color theme="1"/>
        <rFont val="Arial"/>
        <family val="2"/>
      </rPr>
      <t>(in addition to the tables used for counting)</t>
    </r>
  </si>
  <si>
    <r>
      <t xml:space="preserve">Construction
</t>
    </r>
    <r>
      <rPr>
        <sz val="11"/>
        <color theme="1"/>
        <rFont val="Arial"/>
        <family val="2"/>
      </rPr>
      <t>(Any values that are constructed to be NULL are subsequently changed to 'MV/OP' in the final output)</t>
    </r>
  </si>
  <si>
    <t>Activity Type</t>
  </si>
  <si>
    <t>Counts by ActivityCode (COMMUNITY CARE ACTIVITY TYPE CODE)</t>
  </si>
  <si>
    <t>CYP201</t>
  </si>
  <si>
    <t>case 
  when CYP202.ActivityCode in ('01','02','03','04','05','06','07','08','09','10','11','12','97') then CYP202.ActivityCode
  else NULL
 end as Measure</t>
  </si>
  <si>
    <t>CYP001, CYP201</t>
  </si>
  <si>
    <t>COUNT(distinct  cyp201carecontact.Unique_CareContactID) 
where 
  cyp201carecontact.ContactDate between '$rpstart' and '$rpend'
 and cyp201carecontact.Unique_MonthID = '$Unique_MonthID'
GROUP BY
case when cyp201carecontact.AgeYr_Contact_Date between 0 and 129 and d.Gender in ('1','2','9','X') then cyp201carecontact.AgeYr_Contact_Date else 'MV/OP' end , 
case when cyp201carecontact.AgeYr_Contact_Date between 0 and 129 and d.Gender in ('1','2','9','X') then d.Gender else 'MV/OP' end</t>
  </si>
  <si>
    <t>COUNT(distinct  cyp201carecontact.Person_ID) 
where 
  cyp201carecontact.ContactDate between '$rpstart' and '$rpend'
 and cyp201carecontact.Unique_MonthID = '$Unique_MonthID'
GROUP BY
case when cyp201carecontact.AgeYr_Contact_Date between 0 and 129 then cyp201carecontact.AgeBand_Contact_Date else 'MV/OP' end</t>
  </si>
  <si>
    <t>COUNT(distinct  cyp101referral.Person_ID) 
where 
  cyp101referral.ReferralRequest_ReceivedDate between '$rpstart' and '$rpend'
 and cyp101referral.Unique_MonthID = '$Unique_MonthID'
GROUP BY
case when cyp101referral.AgeYr_Referral_ReceivedDate between 0 and 129 then cyp101referral.AgeBand_Referral_ReceivedDate else 'MV/OP' end</t>
  </si>
  <si>
    <t>AgeYr_Referral_ReceivedDate_Gender_Patient with Referrals</t>
  </si>
  <si>
    <t>CYP001, CYP101</t>
  </si>
  <si>
    <t>Referrals,
People with Referral</t>
  </si>
  <si>
    <t>case 
  when CYP101.Age_ServiceReferralReceivedDate not between 0 and 120
  or CYP101.Age_ServiceReferralReceivedDate is null 
  or CYP001.Gender is NULL 
  or CYP001.Gender not in ('1','2','9','X') then NULL 
  when CYP101.Age_ServiceReferralReceivedDate between 0 and 4 then "1"
  when CYP101.Age_ServiceReferralReceivedDate between 5 and 9 then "2"
  when CYP101.Age_ServiceReferralReceivedDate between 10 and 14 then "3"
  when CYP101.Age_ServiceReferralReceivedDate between 15 and 18 then "4"
  when CYP101.Age_ServiceReferralReceivedDate between 19 and 24 then "5"
  when CYP101.Age_ServiceReferralReceivedDate between 25 and 29 then "6"
  when CYP101.Age_ServiceReferralReceivedDate between 30 and 34 then "7"
  when CYP101.Age_ServiceReferralReceivedDate between 35 and 39 then "8"
  when CYP101.Age_ServiceReferralReceivedDate between 40 and 44 then "9"
  when CYP101.Age_ServiceReferralReceivedDate between 45 and 49 then "10"
  when CYP101.Age_ServiceReferralReceivedDate between 50 and 54 then "11"
  when CYP101.Age_ServiceReferralReceivedDate between 55 and 59 then "12"
  when CYP101.Age_ServiceReferralReceivedDate between 60 and 64 then "13"
  when CYP101.Age_ServiceReferralReceivedDate between 65 and 69 then "14"
  when CYP101.Age_ServiceReferralReceivedDate between 70 and 74 then "15"
  when CYP101.Age_ServiceReferralReceivedDate between 75 and 79 then "16"
  when CYP101.Age_ServiceReferralReceivedDate between 80 and 84 then "17"
  when CYP101.Age_ServiceReferralReceivedDate between 85 and 120 then "18"
 end as Measure, 
 case 
  when CYP101.Age_ServiceReferralReceivedDate not between 0 and 120 
  or CYP101.Age_ServiceReferralReceivedDate is null 
  or CYP001.Gender is NULL 
  or CYP001.Gender not in ('1','2','9','X') then NULL
  else CYP001.Gender
 end as Measure2</t>
  </si>
  <si>
    <t>AgeYr_Referral_ReceivedDate_Gender_PrimaryReferralReason</t>
  </si>
  <si>
    <t>Age_ServiceReferralReceivedDate-Gender_0_18</t>
  </si>
  <si>
    <t>case 
  when CYP101.Age_ServiceReferralReceivedDate not between 0 and 120
  or CYP101.Age_ServiceReferralReceivedDate is null 
  or CYP001.Gender is NULL 
  or CYP001.Gender not in ('1','2','9','X') then NULL 
  else CYP101.Age_ServiceReferralReceivedDate
 end as Measure, 
 case 
  when CYP101.Age_ServiceReferralReceivedDate not between 0 and 120 
  or CYP101.Age_ServiceReferralReceivedDate is null 
  or CYP001.Gender is NULL 
  or CYP001.Gender not in ('1','2','9','X') then NULL
  else CYP001.Gender
 end as Measure2</t>
  </si>
  <si>
    <t>Data is filtered to where CYP101.Age_ServiceReferralReceivedDate between 0 and 18</t>
  </si>
  <si>
    <t>Age_ServiceReferralReceivedDate-Group</t>
  </si>
  <si>
    <t>Counts by grouped Age_ServiceReferralReceivedDate (AGE AT SERVICE REFERRAL RECEIVED DATE)</t>
  </si>
  <si>
    <t>People with Referral</t>
  </si>
  <si>
    <t>case 
   when CYP101.Age_ServiceReferralReceivedDate between 0 and 4 then '1'
   when CYP101.Age_ServiceReferralReceivedDate between 5 and 9 then '2'
   when CYP101.Age_ServiceReferralReceivedDate between 10 and 14 then '3'
   when CYP101.Age_ServiceReferralReceivedDate between 15 and 18 then '4'
   when CYP101.Age_ServiceReferralReceivedDate between 19 and 24 then '5'
   when CYP101.Age_ServiceReferralReceivedDate between 25 and 29 then '6'
   when CYP101.Age_ServiceReferralReceivedDate between 30 and 34 then '7'
   when CYP101.Age_ServiceReferralReceivedDate between 35 and 39 then '8'
   when CYP101.Age_ServiceReferralReceivedDate between 40 and 44 then '9'
   when CYP101.Age_ServiceReferralReceivedDate between 45 and 49 then '10'
   when CYP101.Age_ServiceReferralReceivedDate between 50 and 54 then '11'
   when CYP101.Age_ServiceReferralReceivedDate between 55 and 59 then '12'
   when CYP101.Age_ServiceReferralReceivedDate between 60 and 64 then '13'
   when CYP101.Age_ServiceReferralReceivedDate between 65 and 69 then '14'
   when CYP101.Age_ServiceReferralReceivedDate between 70 and 74 then '15'
   when CYP101.Age_ServiceReferralReceivedDate between 75 and 79 then '16'
   when CYP101.Age_ServiceReferralReceivedDate between 80 and 84 then '17'
   when CYP101.Age_ServiceReferralReceivedDate between 85 and 120 then '18'
   else NULL
end as Measure</t>
  </si>
  <si>
    <t>Age_ServiceReferralReceivedDate-Group-ReferralReason</t>
  </si>
  <si>
    <t xml:space="preserve">case 
  when CYP101.Age_ServiceReferralReceivedDate not between 0 and 120
  or CYP101.Age_ServiceReferralReceivedDate is null 
  or CYP101.ReferralReason is NULL 
  or CYP101.ReferralReason not in ('001','002','003','004','005','006','007','008','009','010','011','012','013','014','015','017','018','019','020','021','022','023','024','025','026','027','028','029','030','031','032','033','034','035','036','037','038','039','040','041','042','043','044','045','046','047','048','049','050','051','052','053','054','055','056','057','058','059','060','061','062','063','064','065','066','067','068','069','070','071','072','073','074','075','076','077','078','079','080','081','082','083','084','085','086','087','088','999') then NULL 
   when CYP101.Age_ServiceReferralReceivedDate between 0 and 4 then '1'
   when CYP101.Age_ServiceReferralReceivedDate between 5 and 9 then '2'
   when CYP101.Age_ServiceReferralReceivedDate between 10 and 14 then '3'
   when CYP101.Age_ServiceReferralReceivedDate between 15 and 18 then '4'
   when CYP101.Age_ServiceReferralReceivedDate between 19 and 24 then '5'
   when CYP101.Age_ServiceReferralReceivedDate between 25 and 29 then '6'
   when CYP101.Age_ServiceReferralReceivedDate between 30 and 34 then '7'
   when CYP101.Age_ServiceReferralReceivedDate between 35 and 39 then '8'
   when CYP101.Age_ServiceReferralReceivedDate between 40 and 44 then '9'
   when CYP101.Age_ServiceReferralReceivedDate between 45 and 49 then '10'
   when CYP101.Age_ServiceReferralReceivedDate between 50 and 54 then '11'
   when CYP101.Age_ServiceReferralReceivedDate between 55 and 59 then '12'
   when CYP101.Age_ServiceReferralReceivedDate between 60 and 64 then '13'
   when CYP101.Age_ServiceReferralReceivedDate between 65 and 69 then '14'
   when CYP101.Age_ServiceReferralReceivedDate between 70 and 74 then '15'
   when CYP101.Age_ServiceReferralReceivedDate between 75 and 79 then '16'
   when CYP101.Age_ServiceReferralReceivedDate between 80 and 84 then '17'
   when CYP101.Age_ServiceReferralReceivedDate between 85 and 120 then '18'
end as Measure, </t>
  </si>
  <si>
    <t xml:space="preserve"> case 
  when CYP101.Age_ServiceReferralReceivedDate not between 0 and 19 
  or CYP101.Age_ServiceReferralReceivedDate is null 
  or CYP101.ReferralReason is NULL 
  or CYP101.ReferralReason not in ('001','002','003','004','005','006','007','008','009','010','011','012','013','014','015','017','018','019','020','021','022','023','024','025','026','027','028','029','030','031','032','033','034','035','036','037','038','039','040','041','042','043','044','045','046','047','048','049','050','051','052','053','054','055','056','057','058','059','060','061','062','063','064','065','066','067','068','069','070','071','072','073','074','075','076','077','078','079','080','081','082','083','084','085','086','087','088','999') then NULL 
  else CYP101.ReferralReason
 end as Measure2</t>
  </si>
  <si>
    <t>AttendCode-Group</t>
  </si>
  <si>
    <t>Counts by grouped AttendCode (ATTENDED OR DID NOT ATTEND CODE)</t>
  </si>
  <si>
    <t>case 
  when CYP201.AttendCode = '5' 
  or CYP201.AttendCode = '6' then '1'
  when CYP201.AttendCode = '3' 
  or CYP201.AttendCode = '7' then '2'
  when CYP201.AttendCode = '2' then '3'
  when CYP201.AttendCode = '4' then '4'
  else NULL
 end as Measure</t>
  </si>
  <si>
    <t>case 
  when CYP201.Medium in ('01','02','03','04','05','06','98') then CYP201.Medium
  else NULL
 end as Measure</t>
  </si>
  <si>
    <t>case 
  when CYP201.ConsultType in ('01','02') then CYP201.ConsultType 
  else NULL 
 end as Measure</t>
  </si>
  <si>
    <t>ConsultType-AttendCode-Group</t>
  </si>
  <si>
    <t>case 
  when CYP201.AttendCode is NULL 
  or CYP201.AttendCode not in ('2','3','4','5','6','7') 
  or CYP201.ConsultType is NULL 
  or CYP201.ConsultType not in ('01','02') then NULL 
  else CYP201.ConsultType 
 end as Measure, 
 case 
  when CYP201.AttendCode is NULL 
  or CYP201.AttendCode not in ('2','3','4','5','6','7') 
  or CYP201.ConsultType is NULL 
  or CYP201.ConsultType not in ('01','02') then NULL 
  when CYP201.AttendCode = '5' 
  or CYP201.AttendCode = '6' then '1'
  when CYP201.AttendCode = '3' 
  or CYP201.AttendCode = '7' then '2'
  when CYP201.AttendCode = '2' then '3'
  when CYP201.AttendCode = '4' then '4'
  else NULL
 end as Measure2</t>
  </si>
  <si>
    <t>CYP001</t>
  </si>
  <si>
    <t>People with Care Contact, 
People with referral</t>
  </si>
  <si>
    <t>case 
  when CYP001.Gender in ('1','2','9','X') then CYP001.Gender 
  else NULL 
 end as Measure</t>
  </si>
  <si>
    <t>Counts by Gender (PERSON STATED GENDER CODE) and grouped Age_ServiceReferralReceivedDate (AGE AT SERVICE REFERRAL RECEIVED DATE)</t>
  </si>
  <si>
    <t>case 
  when CYP101.Age_ServiceReferralReceivedDate not between 0 and 120
  or CYP101.Age_ServiceReferralReceivedDate is null 
  or CYP001.Gender is NULL 
  or CYP001.Gender not in ('1','2','9','X') then NULL 
  else CYP001.gender
 end as Measure, 
 case 
  when CYP101.Age_ServiceReferralReceivedDate not between 0 and 120 
  or CYP101.Age_ServiceReferralReceivedDate is null 
  or CYP001.Gender is NULL 
  or CYP001.Gender not in ('1','2','9','X') then NULL 
   when CYP101.Age_ServiceReferralReceivedDate between 0 and 4 then '1'
   when CYP101.Age_ServiceReferralReceivedDate between 5 and 9 then '2'
   when CYP101.Age_ServiceReferralReceivedDate between 10 and 14 then '3'
   when CYP101.Age_ServiceReferralReceivedDate between 15 and 18 then '4'
   when CYP101.Age_ServiceReferralReceivedDate between 19 and 24 then '5'
   when CYP101.Age_ServiceReferralReceivedDate between 25 and 29 then '6'
   when CYP101.Age_ServiceReferralReceivedDate between 30 and 34 then '7'
   when CYP101.Age_ServiceReferralReceivedDate between 35 and 39 then '8'
   when CYP101.Age_ServiceReferralReceivedDate between 40 and 44 then '9'
   when CYP101.Age_ServiceReferralReceivedDate between 45 and 49 then '10'
   when CYP101.Age_ServiceReferralReceivedDate between 50 and 54 then '11'
   when CYP101.Age_ServiceReferralReceivedDate between 55 and 59 then '12'
   when CYP101.Age_ServiceReferralReceivedDate between 60 and 64 then '13'
   when CYP101.Age_ServiceReferralReceivedDate between 65 and 69 then '14'
   when CYP101.Age_ServiceReferralReceivedDate between 70 and 74 then '15'
   when CYP101.Age_ServiceReferralReceivedDate between 75 and 79 then '16'</t>
  </si>
  <si>
    <t>CYP101</t>
  </si>
  <si>
    <t>Case when CYP101.ReferralReason not in ('001','002','003','004','005','006','007','008','009','010','011','012','013','014','015','017','018','019','020','021','022','023','024','025','026','027','028','029','030','031','032','033','034','035','036','037','038','039','040','041','042','043','044','045','046','047','048','049','050','051','052','053','054','055','056','057','058','059','060','061','062','063','064','065','066','067','068','069','070','071','072','073','074','075','076','077','078','079','080','081','082','083','084','085','086','087','088','999') then NULL
else CYP101.ReferralReason
end as Measure</t>
  </si>
  <si>
    <t>SourceOfreferral</t>
  </si>
  <si>
    <t>COUNT (distinct concat(cyp101referral.Person_ID,cyp101referral.Unique_ServiceRequestID))
where 
  cyp101referral.ReferralRequest_ReceivedDate between '$rpstart' and '$rpend'
 and cyp101referral.Unique_MonthID = '$Unique_MonthID'
Group by 
 case 
    when cyp101referral.SourceOfReferral in ('01','02','03','04','05','06','07','08','09','10','11','12','13','14','15','16','17','18','19','20','21','22','23','99') then cyp101referral.SourceOfReferral
    else 'MV/OP'
  end
    as SourceOfReferral</t>
  </si>
  <si>
    <t>CYP202</t>
  </si>
  <si>
    <t>Number of organisations successfully submitting</t>
  </si>
  <si>
    <t>Patients with Care Contact</t>
  </si>
  <si>
    <t>CYP201, CYP001</t>
  </si>
  <si>
    <t>CYP101, CYP001</t>
  </si>
  <si>
    <t>Description of count</t>
  </si>
  <si>
    <r>
      <t xml:space="preserve">Tables used 
</t>
    </r>
    <r>
      <rPr>
        <sz val="11"/>
        <color theme="1"/>
        <rFont val="Arial"/>
        <family val="2"/>
      </rPr>
      <t>(in addition to the tables used in the measure)</t>
    </r>
  </si>
  <si>
    <t>Dimensions used</t>
  </si>
  <si>
    <t>CYP201, CYP202</t>
  </si>
  <si>
    <t xml:space="preserve">ActivityCode
</t>
  </si>
  <si>
    <t xml:space="preserve">count (distinct concat(CYP202.RecordStartDate, CYP202.UniqueCareActivity_ID))
where 
 CYP201.CContactDate between @rep_start_period and @rep_end_period
 and CYP202.RecordStartDate between @rep_start_period and @rep_end_period
</t>
  </si>
  <si>
    <t xml:space="preserve">Age_CareContactDate-Gender,
AttendCode-Group,
ConsultType,
ConsultType-AttendCode-Group,
ConsultationMedium
</t>
  </si>
  <si>
    <t xml:space="preserve">COUNT (distinct concat(CYP201.RecordStartDate, CYP201.UniqueCareContact_ID))
where 
 CYP201.CContactDate between @rep_start_period and @rep_end_period
 and CYP201.RecordStartDate between @rep_start_period and @rep_end_period
</t>
  </si>
  <si>
    <t xml:space="preserve">COUNT (distinct CYP201.UniqueCYPHS_ID_Patient)
where 
 CYP201.CContactDate between @rep_start_period and @rep_end_period
 and CYP201.RecordStartDate between @rep_start_period and @rep_end_period
</t>
  </si>
  <si>
    <t>CYP201
CYP001</t>
  </si>
  <si>
    <t xml:space="preserve">COUNT (distinct CYP201.UniqueCYPHS_ID_Patient)
where 
 CYP201.CContactDate between @rep_start_period and @rep_end_period
 and CYP201.RecordStartDate between @rep_start_period and @rep_end_period
 and CYP001.Gender in ('1','2','9','X') 
</t>
  </si>
  <si>
    <t xml:space="preserve">Age_ServiceReferralReceivedDate-Gender,
Age_ServiceReferralReceivedDate-Group,
Gender,
Gender-Age_ServiceReferralReceivedDate-Group
</t>
  </si>
  <si>
    <t xml:space="preserve">COUNT (distinct CYP101.UniqueCYPHS_ID_Patient)
where 
 CYP101.ReferralDate between @rep_start_period and @rep_end_period
 and CYP101.RecordStartDate between @rep_start_period and @rep_end_period
 </t>
  </si>
  <si>
    <t>CYP101
CYP001</t>
  </si>
  <si>
    <t xml:space="preserve">COUNT (distinct CYP101.UniqueCYPHS_ID_Patient)
where 
 CYP101.ReferralDate between @rep_start_period and @rep_end_period
 and CYP101.RecordStartDate between @rep_start_period and @rep_end_period
 and CYP001.Gender in ('1','2','9','X') 
 </t>
  </si>
  <si>
    <t>CYP000</t>
  </si>
  <si>
    <t xml:space="preserve">COUNT (distinct CYP000.OrgCodeProv)
where 
 CYP000.RPStartDate between @rep_start_period and @rep_end_period
</t>
  </si>
  <si>
    <t>Age_ServiceReferralReceivedDate-Gender,
Age_ServiceReferralReceivedDate-Group-ReferralReason,
ReferralReason,
ReferralSource,
Totals</t>
  </si>
  <si>
    <t xml:space="preserve">COUNT (distinct concat(CYP101.UniqueCYPHS_ID_Patient, CYP101.UniqueServiceReq_ID)
where 
 CYP101.ReferralDate between @rep_start_period and @rep_end_period
 and CYP101.RecordStartDate between @rep_start_period and @rep_end_period
</t>
  </si>
  <si>
    <t>Monthly HV CSV Measure</t>
  </si>
  <si>
    <r>
      <t xml:space="preserve">Description of measure
</t>
    </r>
    <r>
      <rPr>
        <sz val="11"/>
        <color theme="1"/>
        <rFont val="Arial"/>
        <family val="2"/>
      </rPr>
      <t xml:space="preserve">(where possible measures are described in terms of the classes of information defined in </t>
    </r>
    <r>
      <rPr>
        <u/>
        <sz val="11"/>
        <color theme="1"/>
        <rFont val="Arial"/>
        <family val="2"/>
      </rPr>
      <t>NHS Data Dictionary</t>
    </r>
    <r>
      <rPr>
        <sz val="11"/>
        <color theme="1"/>
        <rFont val="Arial"/>
        <family val="2"/>
      </rPr>
      <t>)</t>
    </r>
  </si>
  <si>
    <t>Total_children_age_turning_30_days</t>
  </si>
  <si>
    <t>A count of children in CSDS whose Person's Date of Birth shows they turned 30 days old within the reporting period</t>
  </si>
  <si>
    <t>CYP001.[Person Death Date]</t>
  </si>
  <si>
    <t>Person with Care Contact</t>
  </si>
  <si>
    <t>COUNT (distinct cyp001mpi.Person_ID) **
where cyp001mpi.Unique_MonthID = '$Unique_MonthID'
and (cyp001mpi.DateOfDeath IS NULL or CYP001mpi.DateOfDeath &gt; '$rpend')
and count distinct of  cyp001mpi.DateOfBirth is equal to 1 for this Person_ID*
and cyp001mpi.DateOfBirth between ('$rpstart'- 30) and ('$rpend' - 30)
* Implemented using left anti join on (select Person_ID from cyp001mpi, group by Person_ID having count(distinct DateOfBirth) != 1)
** In case of a new birth visit recorded, select the corresponding cyp001mpi record to that, otherwise select only the latest cyp001mpi record for the patient</t>
  </si>
  <si>
    <t>Count_new_birth_visits_at_8_14_days</t>
  </si>
  <si>
    <t>Count of children in CSDS whose  Date of Birth shows they turned 30 days old within the reporting period and had a New Birth Visit between 8 and 14 days old</t>
  </si>
  <si>
    <t>CYP202.[Community Care Activity Type]
CYP001.[Person Death Date]
CYP202.[Coded Procedure]</t>
  </si>
  <si>
    <t>COUNT (distinct cyp202careactivity.Person_ID) 
where cyp202careactivity.Unique_MonthID &lt;= '$Unique_MonthID'
and  (cyp001mpi.DateOfDeath IS NULL or CYP001mpi.DateOfDeath &gt; '$rpend')
and count distinct of  cyp001.DateOfBirth is equal to 1 for this Person_ID *
and cyp202careactivity.CodedProcedure in ('XaX4m','755041000000102', ‘170099002’, ‘955251000000102’,‘440068009’)
or cyp202careactivity.Activity_Type = '08'
and cyp001mpi.DateOfBirth between ('$rpstart'- 30) and ('$rpend' - 30)
and (cyp201carecontact.Age_Contact_Date &gt;= 8 and cyp201carecontact.Age_Contact_Date &lt;= 14)
* Implemented using left anti join on (select Person_ID from cyp001mpi, group by Person_ID having count(distinct DateOfBirth) != 1)</t>
  </si>
  <si>
    <t>Percentage_new_birth_visits_at_8_14_days</t>
  </si>
  <si>
    <t>Percentage of children in CSDS whose  Date of Birth shows they turned 30 days old within the reporting period and had a New Birth Visit between 8 and 14 days old</t>
  </si>
  <si>
    <t>PERCENTAGE
numerator is Count_new_birth_visits_at_8_14_days
denominator is Total_children_age_turning_30_days</t>
  </si>
  <si>
    <t>Count_new_birth_visits_at_15_30_days</t>
  </si>
  <si>
    <t>Count of children in CSDS whose Date of Birth shows they turned 30 days old within the reporting period and had a New Birth Visit between 15 and 30 days old</t>
  </si>
  <si>
    <t>COUNT (distinct cyp202careactivity.Person_ID) 
where cyp202careactivity.Unique_MonthID &lt;= '$Unique_MonthID'
and (cyp001mpi.DateOfDeath IS NULL or CYP001mpi.DateOfDeath &gt; '$rpend')
and count distinct of  cyp001.DateOfBirth is equal to 1 for this Person_ID *
and cyp202careactivity.CodedProcedure in ('XaX4m','755041000000102', ‘170099002’, ‘955251000000102’,‘440068009’)
or cyp202careactivity.Activity_Type = '08'
and cyp001mpi.DateOfBirth between ('$rpstart'- 30) and ('$rpend' - 30)
and (cyp201carecontact.Age_Contact_Date &gt;= 15 and cyp201carecontact.Age_Contact_Date &lt;= 30)
* Implemented using left anti join on (select Person_ID from cyp001mpi group by Person_ID having count(distinct DateOfBirth) != 1)</t>
  </si>
  <si>
    <t>Percentage_new_birth_visits_at_15_30_days</t>
  </si>
  <si>
    <t>Percentage of children in CSDS whose Date of Birth shows they turned 30 days old within the reporting period and had a New Birth Visit between 15 and 30 days old</t>
  </si>
  <si>
    <t>PERCENTAGE
numerator is Count_new_birth_visits_at_15_30_days
denominator is Total_children_age_turning_30_days</t>
  </si>
  <si>
    <t>Count_f2f_new_birth_visits</t>
  </si>
  <si>
    <t>Count of children in CSDS whose Date of Birth shows they turned 30 days old within the reporting period and had a New Birth Visit where the consultation medium used was  face-to-face</t>
  </si>
  <si>
    <t>CYP202.[Community Care Activity Type]
CYP001.[Person Death Date]
CYP201 [Consultation Medium Used]
CYP202.[Coded Procedure]</t>
  </si>
  <si>
    <t>COUNT (distinct cyp202careactivity.Person_ID) 
where cyp202careactivity.Unique_MonthID &lt;= '$Unique_MonthID'
and (cyp001mpi.DateOfDeath IS NULL or CYP001mpi.DateOfDeath &gt; '$rpend')
and count distinct of  cyp001.DateOfBirth is equal to 1 for this Person_ID *
and cyp202careactivity.CodedProcedure in ('XaX4m','755041000000102', ‘170099002’, ‘955251000000102’,‘440068009’)
or cyp202careactivity.Activity_Type = '08'
and cyp001mpi.DateOfBirth between ('$rpstart'- 30) and ('$rpend' - 30)
and cyp201carecontact.Medium = '01'
* Implemented using left anti join on (select Person_ID from cyp001mpi group by Person_ID having count(distinct DateOfBirth) != 1)</t>
  </si>
  <si>
    <t>Percentage_f2f_new_birth_visits</t>
  </si>
  <si>
    <t>Percentage of children in CSDS whose Date of Birth shows they turned 30 days old within the reporting period and had a New Birth Visit where the consultation medium used was  face-to-face</t>
  </si>
  <si>
    <t>PERCENTAGE
numerator is (Count_f2f_new_birth_visits)
denominator is Total_children_age_turning_30_days</t>
  </si>
  <si>
    <t>Total_children_age_turning_56_days</t>
  </si>
  <si>
    <t>A count of children in CSDS whose Date of Birth shows they turned 56 days old within the reporting period</t>
  </si>
  <si>
    <t xml:space="preserve">CYP001.[Person Death Date] </t>
  </si>
  <si>
    <t>COUNT (distinct cyp001mpi.Person_ID) **
where cyp001mpi.Unique_MonthID = '$Unique_MonthID'
and (cyp001mpi.DateOfDeath IS NULL or CYP001mpi.DateOfDeath &gt; '$rpend')
and count distinct of  cyp001.DateOfBirth is equal to 1 for this Person_ID *
and cyp001mpi.DateOfBirth between ('$rpstart'- 56) and ('$rpend' - 56)
* Implemented using left anti join on (select Person_ID from cyp001mpi group by Person_ID having count(distinct DateOfBirth) != 1)
** In case of a 6-8 week review recorded, select the corresponding cyp001mpi record to that, otherwise select only the latest cyp001mpi record for the patient</t>
  </si>
  <si>
    <t>Count_reviews_at_6_8_weeks</t>
  </si>
  <si>
    <t>Count of children in CSDS whose Date of Birth shows they turned 56 days old within the reporting period and had a 6-8 Week Review between 42 and 56 days old</t>
  </si>
  <si>
    <t>CYP202.[Community Care Activity Type]
CYP001.[Person Death Date] 
CYP202.[Coded Procedure]</t>
  </si>
  <si>
    <t>COUNT (distinct cyp202careactivity.Person_ID) 
where cyp202careactivity.Unique_MonthID &lt;= '$Unique_MonthID'
and (cyp001mpi.DateOfDeath IS NULL or CYP001mpi.DateOfDeath &gt; '$rpend')
and count distinct of  cyp001.DateOfBirth is equal to 1 for this Person_ID *
and cyp202careactivity.CodedProcedure in ('XaQA3','XaPnq','9NFX.','492771000000103','442162000', '64D8.','Y3570', ‘962941000000105’, ‘170300004’, ‘170114005’, '197001000000105')
or cyp202careactivity.Activity_Type = '09' 
and cyp001mpi.DateOfBirth between ('$rpstart'- 56) and ('$rpend' - 56)
and (cyp201carecontact.Age_Contact_Date &gt;= 42 and cyp201carecontact.Age_Contact_Date &lt;= 56)
* Implemented using left anti join on (select Person_ID from cyp001mpi group by Person_ID having count(distinct DateOfBirth) != 1)</t>
  </si>
  <si>
    <t>Percentage_reviews_at_6_8_weeks</t>
  </si>
  <si>
    <t>Percentageof children in CSDS whose Date of Birth shows they turned 56 days old within the reporting period and had a 6-8 Week Review between 42 and 56 days old</t>
  </si>
  <si>
    <t>PERCENTAGE
numerator is Count_reviews_at_6_8_weeks
denominator is Total_children_age_turning_56_days</t>
  </si>
  <si>
    <t>Count_f2f_6_8wk_reviews</t>
  </si>
  <si>
    <t>Count of children in CSDS whose Date of Birth shows they turned 56 days old in the reporting period and had a 6-8 week review carried out face to face</t>
  </si>
  <si>
    <t xml:space="preserve">CYP202.[Community Care Activity Type]
CYP001.[Person Death Date]
CYP201 [Consultation Medium Used]
CYP202.[Coded Procedure]
</t>
  </si>
  <si>
    <t>COUNT (distinct cyp202careactivity.Person_ID) 
where cyp202careactivity.Unique_MonthID &lt;= '$Unique_MonthID'
and (cyp001mpi.DateOfDeath IS NULL or CYP001mpi.DateOfDeath &gt; '$rpend')
and count distinct of  cyp001.DateOfBirth is equal to 1 for this Person_ID *
and cyp202careactivity.CodedProcedure in ('XaQA3','XaPnq','9NFX.','492771000000103','442162000', '64D8.','Y3570', ‘962941000000105’, ‘170300004’, ‘170114005’, '197001000000105')
or cyp202careactivity.Activity_Type = '09'
and cyp001mpi.DateOfBirth between ('$rpstart'- 56) and ('$rpend' - 56)
and (cyp201carecontact.Age_Contact_Date &gt;= 42 and cyp201carecontact.Age_Contact_Date &lt;= 56)
and cyp201carecontact.Medium = '01'
* Implemented using left anti join on (select Person_ID from cyp001mpi group by Person_ID having count(distinct DateOfBirth) != 1)</t>
  </si>
  <si>
    <t>Percentage_f2f_6_8wk_reviews</t>
  </si>
  <si>
    <t>Percentage of children in CSDS whose Date of Birth shows they turned 56 days old in the reporting period and had a 6-8 week review carried out face to face</t>
  </si>
  <si>
    <t xml:space="preserve">PERCENTAGE
numerator is Count_f2f_6_8wk_reviews
denominator is Total_children_age_turning_56_days </t>
  </si>
  <si>
    <t>Count_children_with_BF_status_6_8wks_Unknown</t>
  </si>
  <si>
    <t>Count of children in CSDS whose Date of Birth shows they turned 56 days old in the reporting period but did not have a feeding status recorded between 42 and 63 days.</t>
  </si>
  <si>
    <t>CYP202.[Community Care Activity Type]
CYP001.[Person Death Date]
CYP202.[Derived Breastfeeding Status (Master)]</t>
  </si>
  <si>
    <t>COUNT (distinct cyp202careactivity.Person_ID) 
where cyp202careactivity.Unique_MonthID in ( '$Unique_MonthID')
and (cyp001mpi.DateOfDeath IS NULL or CYP001mpi.DateOfDeath &gt; '$rpend')
and count distinct of  cyp001.DateOfBirth is equal to 1 for this Person_ID *
and cyp001mpi.DateOfBirth between ('$rpstart'- 56) and ('$rpend' - 56)
and (cyp201carecontact.Age_Contact_Date &gt;= 42 and cyp201carecontact.Age_Contact_Date &lt;= 56)
and cyp202careactivity.BreastFeedingStatus_Master not in ('B1', 'B2', 'B3')
* Implemented using left anti join on (select Person_ID from cyp001mpi group by Person_ID having count(distinct DateOfBirth) != 1)</t>
  </si>
  <si>
    <t>Extended time period allowed for BF status reporting</t>
  </si>
  <si>
    <t>Count_children_with_BF_status_6_8wks_Breastfed</t>
  </si>
  <si>
    <t>Count of children in CSDS whose Date of Birth shows they turned 56 days old in the reporting period and had a feeding status of breastfed recorded between 42 and 63 days - Where a child had more than one status recorded during this period, the earliest one has been used in analysis.The feeding status in this metric does not need to be linked to a 6-8 Week Review.</t>
  </si>
  <si>
    <t>COUNT (distinct cyp202careactivity.Person_ID) 
where cyp202careactivity.Unique_MonthID in ( '$Unique_MonthID')
and (cyp001mpi.DateOfDeath IS NULL or CYP001mpi.DateOfDeath &gt; '$rpend')
and count distinct of  cyp001.DateOfBirth is equal to 1 for this Person_ID *
and cyp001mpi.DateOfBirth between ('$rpstart'- 56) and ('$rpend' - 56)
and (cyp201carecontact.Age_Contact_Date &gt;= 42 and cyp201carecontact.Age_Contact_Date &lt;= 56)
and cyp202careactivity.BreastFeedingStatus_Master is B1
* Implemented using left anti join on (select Person_ID from cyp001mpi group by Person_ID having count(distinct DateOfBirth) != 1)</t>
  </si>
  <si>
    <t>Count_children_with_BF_status_6_8wks_Partially_Breastfed</t>
  </si>
  <si>
    <t>Count of children in CSDS whose Date of Birth shows they turned 56 days old in the reporting period and had a feeding status of partially breastfed recorded between 42 and 63 days - Where a child had more than one status recorded during this period, the earliest one has been used in analysis.The feeding status in this metric does not need to be linked to a 6-8 Week Review.</t>
  </si>
  <si>
    <t>COUNT (distinct cyp202careactivity.Person_ID) 
where cyp202careactivity.Unique_MonthID in ( '$Unique_MonthID')
and (cyp001mpi.DateOfDeath IS NULL or CYP001mpi.DateOfDeath &gt; '$rpend')
and count distinct of  cyp001.DateOfBirth is equal to 1 for this Person_ID *
and cyp001mpi.DateOfBirth between ('$rpstart'- 56) and ('$rpend' - 56)
and (cyp201carecontact.Age_Contact_Date &gt;= 42 and cyp201carecontact.Age_Contact_Date &lt;= 56)
and  cyp202careactivity.BreastFeedingStatus_Master is B2
* Implemented using left anti join on (select Person_ID from cyp001mpi group by Person_ID having count(distinct DateOfBirth) != 1)</t>
  </si>
  <si>
    <t>Count_children_with_BF_status_6_8wks_Not_Breastfed</t>
  </si>
  <si>
    <t>Count of children in CSDS whose Date of Birth shows they turned 56 days old in the reporting period and had a feeding status of not breastfed recorded between 42 and 63 days - Where a child had more than one status recorded during this period, the earliest one has been used in analysis.The feeding status in this metric does not need to be linked to a 6-8 Week Review.</t>
  </si>
  <si>
    <t>COUNT (distinct cyp202careactivity.Person_ID) 
where cyp202careactivity.Unique_MonthID in ( '$Unique_MonthID')
and (cyp001mpi.DateOfDeath IS NULL or CYP001mpi.DateOfDeath &gt; '$rpend')
and count distinct of  cyp001.DateOfBirth is equal to 1 for this Person_ID *
and cyp001mpi.DateOfBirth between ('$rpstart'- 56) and ('$rpend' - 56)
and (cyp201carecontact.Age_Contact_Date &gt;= 42 and cyp201carecontact.Age_Contact_Date &lt;= 56)
and  cyp202careactivity.BreastFeedingStatus_Master is B3
* Implemented using left anti join on (select Person_ID from cyp001mpi group by Person_ID having count(distinct DateOfBirth) != 1)</t>
  </si>
  <si>
    <t>Percentage_children_with_BF_status_recorded</t>
  </si>
  <si>
    <t>45rrrrrrrrrrrrrrr</t>
  </si>
  <si>
    <t xml:space="preserve">PERCENTAGE
numerator is (Count_children_with_BF_status_6_8wks_Breastfed + Count_children_with_BF_status_6_8wks_Partially_Breastfed + Count_children_with_BF_status_6_8wks_Not_Breastfed)
denominator is Total_children_age_turning_56_days </t>
  </si>
  <si>
    <t>Total_children_age_turning_366_days</t>
  </si>
  <si>
    <t>A count of children in CSDS whose Date of Birth shows they turned 366 days old within the reporting period</t>
  </si>
  <si>
    <t>COUNT (distinct cyp001mpi.Person_ID) **
where cyp001mpi.Unique_MonthID = '$Unique_MonthID'
and (cyp001mpi.DateOfDeath IS NULL or CYP001mpi.DateOfDeath &gt; '$rpend')
and count distinct of  cyp001.DateOfBirth is equal to 1 for this Person_ID *
and cyp001mpi.DateOfBirth between ('$rpstart'- 366) and ('$rpend' - 366)
* Implemented using left anti join on (select Person_ID from cyp001mpi group by Person_ID having count(distinct DateOfBirth) != 1)
** In case of a 1 year review recorded, select the corresponding cyp001mpi record to that, otherwise select only the latest cyp001mpi record for the patient</t>
  </si>
  <si>
    <t>Count_12mth_reviews_at_9_12_months</t>
  </si>
  <si>
    <t>Count of children in CSDS whose Date of Birth shows they turned 366 days old within the reporting period and had a 12 Month Review between 270 and 366 days old
Count of children in CSDS whose Date of Birth shows they were between 270 and 366 days old within the reporting period and had a 12 Month Review between 270 and 366 days old</t>
  </si>
  <si>
    <t>COUNT (distinct cyp202careactivity.Person_ID) 
where cyp202careactivity.Unique_MonthID &lt;= '$Unique_MonthID'
and (cyp001mpi.DateOfDeath IS NULL or CYP001mpi.DateOfDeath &gt; '$rpend')
and count distinct of  cyp001.DateOfBirth is equal to 1 for this Person_ID *
and cyp202careactivity.CodedProcedure in ('XaP6P','962571000000105','9NFY.','64U..','XacFr','492781000000101','955371000000101','170254004','410630000','XaQA4', '64U8.', '64T3.', '64UZ.')
or cyp202careactivity.Activity_Type = '10'
and cyp001mpi.DateOfBirth between ('$rpstart'- 366) and ('$rpend' - 366)
and (cyp201carecontact.Age_Contact_Date &gt;= 270 and cyp201carecontact.Age_Contact_Date &lt;= 366)
* Implemented using left anti join on (select Person_ID from cyp001mpi group by Person_ID having count(distinct DateOfBirth) != 1)</t>
  </si>
  <si>
    <t>Percentage_12mth_reviews_at_9_12_months</t>
  </si>
  <si>
    <t>PERCENTAGE
numerator is Count_12mth_reviews_at_9_12_months
denominator is Total_children_age_turning_366_days</t>
  </si>
  <si>
    <t>Count_f2f_12_month_reviews</t>
  </si>
  <si>
    <t xml:space="preserve">Count of children in CSDS whose Date of Birth shows they turned 366 days old within the reporting period and had a 12 Month Review between 270 and 366 days old carried out face-to-face </t>
  </si>
  <si>
    <t>COUNT (distinct cyp202careactivity.Person_ID) 
where cyp202careactivity.Unique_MonthID &lt;= '$Unique_MonthID'
and (cyp001mpi.DateOfDeath IS NULL or CYP001mpi.DateOfDeath &gt; '$rpend')
and count distinct of  cyp001.DateOfBirth is equal to 1 for this Person_ID *
and cyp202careactivity.CodedProcedure in ('XaP6P','962571000000105','9NFY.','64U..','XacFr','492781000000101','955371000000101','170254004','410630000','XaQA4', '64U8.', '64T3.', '64UZ.')
or cyp202careactivity.Activity_Type = '10'
and cyp001mpi.DateOfBirth between ('$rpstart'- 366) and ('$rpend' - 366)
and (cyp201carecontact.Age_Contact_Date &gt;= 270 and cyp201carecontact.Age_Contact_Date &lt;= 366)
and cyp201carecontact.Medium = '01'
* Implemented using left anti join on (select Person_ID from cyp001mpi group by Person_ID having count(distinct DateOfBirth) != 1)</t>
  </si>
  <si>
    <t>Percentage_f2f_12_month_reviews</t>
  </si>
  <si>
    <t xml:space="preserve">Percentage of children in CSDS whose Date of Birth shows they turned 366 days old within the reporting period and had a 12 Month Review between 270 and 366 days old carried out face-to-face </t>
  </si>
  <si>
    <t>PERCENTAGE
numerator is Count_f2f_12mth_reviews_at_9_12_months
denominator is Total_children_age_turning_366_days</t>
  </si>
  <si>
    <t>Total_children_age_turning_457_days</t>
  </si>
  <si>
    <t xml:space="preserve">Count of children in CSDS whose Date of Birth shows they turned 457 days old within the reporting period
</t>
  </si>
  <si>
    <t>COUNT (distinct cyp001mpi.Person_ID) **
where cyp001mpi.Unique_MonthID = '$Unique_MonthID'
and (cyp001mpi.DateOfDeath IS NULL or CYP001mpi.DateOfDeath &gt; '$rpend')
and count distinct of  cyp001.DateOfBirth is equal to 1 for this Person_ID *
and cyp001mpi.DateOfBirth between ('$rpstart'- 457) and ('$rpend' - 457)
* Implemented using left anti join on (select Person_ID from cyp001mpi group by Person_ID having count(distinct DateOfBirth) != 1)
** In case of a 1 year review recorded, select the corresponding cyp001mpi record to that, otherwise select only the latest cyp001mpi record for the patient</t>
  </si>
  <si>
    <t>Count_12mth_reviews_at_9_15_months</t>
  </si>
  <si>
    <t>Count of children in CSDS whose Date of Birth shows they turned 457 days old within the reporting period  and had a 12 Month Review between 270 and 457 days old
Count of children in CSDS whose Date of Birth shows they were 367 to 457 days old within the reporting period and had a 12 Month Review between 367 and 457 days old</t>
  </si>
  <si>
    <t>COUNT (distinct cyp202careactivity.Person_ID) 
where cyp202careactivity.Unique_MonthID &lt;= '$Unique_MonthID'
and (cyp001mpi.DateOfDeath IS NULL or CYP001mpi.DateOfDeath &gt; '$rpend')
and count distinct of  cyp001.DateOfBirth is equal to 1 for this Person_ID *
and cyp202careactivity.CodedProcedure in ('XaP6P','962571000000105','9NFY.','64U..','XacFr','492781000000101','955371000000101','170254004','410630000','XaQA4', '64U8.', '64T3.', '64UZ.')
or cyp202careactivity.Activity_Type = '10'
and cyp001mpi.DateOfBirth between ('$rpstart'- 457) and ('$rpend' - 457)
and (cyp201carecontact.Age_Contact_Date &gt;= 270 and cyp201carecontact.Age_Contact_Date &lt;= 457)
* Implemented using left anti join on (select Person_ID from cyp001mpi group by Person_ID having count(distinct DateOfBirth) != 1)</t>
  </si>
  <si>
    <t>Percentage_12mth_reviews_at_9_15_months</t>
  </si>
  <si>
    <t>PERCENTAGE
numerator is Count_12mth_reviews_at_9_15_months
denominator is Total_children_age_turning_457_days</t>
  </si>
  <si>
    <t>Count_f2f_9_15_month_reviews</t>
  </si>
  <si>
    <t xml:space="preserve">Count of children in CSDS whose Date of Birth shows they turned 457 days old within the reporting period and had a 12 Month Review between 270 and 457 days old carried out face-to-face </t>
  </si>
  <si>
    <t>COUNT (distinct cyp202careactivity.Person_ID) 
where cyp202careactivity.Unique_MonthID &lt;= '$Unique_MonthID'
and (cyp001mpi.DateOfDeath IS NULL or CYP001mpi.DateOfDeath &gt; '$rpend')
and count distinct of  cyp001.DateOfBirth is equal to 1 for this Person_ID*
and cyp202careactivity.Activity_Type = '10' or cyp202careactivity.CodedProcedure in ('XaP6P','962571000000105','9NFY.','64U..','XacFr','492781000000101','955371000000101','170254004','410630000','XaQA4', '64U8.', '64T3.', '64UZ.')
or cyp202careactivity.Activity_Type = '10' 
and cyp001mpi.DateOfBirth between ('$rpstart'- 457) and ('$rpend' - 457)
and (cyp201carecontact.Age_Contact_Date &gt;= 270 and cyp201carecontact.Age_Contact_Date &lt;= 457)
and cyp201carecontact.Medium = '01'
* Implemented using left anti join on (select Person_ID from cyp001mpi, group by Person_ID having count(distinct DateOfBirth) != 1)</t>
  </si>
  <si>
    <t>Percentage_f2f_9_15_month_reviews</t>
  </si>
  <si>
    <t xml:space="preserve">Percentage of children in CSDS whose Date of Birth shows they turned 457 days old within the reporting period and had a 12 Month Review between 270 and 457 days old carried out face-to-face </t>
  </si>
  <si>
    <t>PERCENTAGE
numerator is Count_f2f_9_15_month_reviews
denominator is Total_children_age_turning_457_days</t>
  </si>
  <si>
    <t>Total_children_age_turning_914_days</t>
  </si>
  <si>
    <t>Count of children in CSDS whose Date of Birth shows they turned 914 days old within the reporting period</t>
  </si>
  <si>
    <t>COUNT (distinct cyp001mpi.Person_ID) **
where cyp001mpi.Unique_MonthID = '$Unique_MonthID'
and (cyp001mpi.DateOfDeath IS NULL or CYP001mpi.DateOfDeath &gt; '$rpend')
and count distinct of  cyp001.DateOfBirth is equal to 1 for this Person_ID*
and cyp001mpi.DateOfBirth between ('$rpstart'- 914) and ('$rpend' - 914)
* Implemented using left anti join on (select Person_ID from cyp001mpi, group by Person_ID having count(distinct DateOfBirth) != 1)
** In case of a 2 year review recorded, select the corresponding cyp001mpi record to that, otherwise select only the latest cyp001mpi record for the patient</t>
  </si>
  <si>
    <t>Count_reviews_at_2_Years</t>
  </si>
  <si>
    <t>Count of children in CSDS whose Date of Birth shows they turned 914 days old within the reporting period and had a 2-2½ Year Review between 691 and 914 days old</t>
  </si>
  <si>
    <t>COUNT (distinct cyp202careactivity.Person_ID) 
where cyp202careactivity.Unique_MonthID &lt;= '$Unique_MonthID'
and (cyp001mpi.DateOfDeath IS NULL or CYP001mpi.DateOfDeath &gt; '$rpend')
and count distinct of  cyp001.DateOfBirth is equal to 1 for this Person_ID *
and cyp202careactivity.CodedProcedure in ('Xad5C','XaaUf','XaQA6','XaIt2','XacFw','9NFc.','401140000','983431000000104', '170141000',‘702481008’,‘492801000000100’,‘955431000000105’,‘417334000’, ‘197021000000101’, '64G..')
or cyp202careactivity.Activity_Type = '11'
and cyp001mpi.DateOfBirth between ('$rpstart'- 914) and ('$rpend' - 914)
and (cyp201carecontact.Age_Contact_Date &gt;= 691 and cyp201carecontact.Age_Contact_Date &lt;= 914)
* Implemented using left anti join on (select Person_ID from cyp001mpi group by Person_ID having count(distinct DateOfBirth) != 1)</t>
  </si>
  <si>
    <t>Percentage_reviews_at_2_Years</t>
  </si>
  <si>
    <t>Percentage of children in CSDS whose Date of Birth shows they turned 914 days old within the reporting period and had a 2-2½ Year Review between 691 and 914 days old</t>
  </si>
  <si>
    <t>PERCENTAGE
numerator is Count_reviews_at_2_Years
denominator is Total_children_age_turning_914_days</t>
  </si>
  <si>
    <t>Count_f2f_2Year_reviews</t>
  </si>
  <si>
    <t>Count of children in CSDS whose Date of Birth shows they turned 914 days old within the reporting period and had a  2-2½ Year Review between 691 and 914 days old where the consultation medium was face-to-face</t>
  </si>
  <si>
    <t>COUNT (distinct cyp202careactivity.Person_ID) 
where cyp202careactivity.Unique_MonthID &lt;= '$Unique_MonthID'
and (cyp001mpi.DateOfDeath IS NULL or CYP001mpi.DateOfDeath &gt; '$rpend')
and count distinct of  cyp001.DateOfBirth is equal to 1 for this Person_ID *
andcyp202careactivity.CodedProcedure in ('Xad5C','XaaUf','XaQA6','XaIt2','XacFw','9NFc.','401140000','983431000000104', '170141000',‘702481008’,‘492801000000100’,‘955431000000105’,‘417334000’, ‘197021000000101’, '64G..')
or cyp202careactivity.Activity_Type = '11' 
and cyp001mpi.DateOfBirth between ('$rpstart'- 914) and ('$rpend' - 914)
and (cyp201carecontact.Age_Contact_Date &gt;= 691 and cyp201carecontact.Age_Contact_Date &lt;= 914)
and cyp201carecontact.Medium = '01'
* Implemented using left anti join on (select Person_ID from cyp001mpi group by Person_ID having count(distinct DateOfBirth) != 1)</t>
  </si>
  <si>
    <t>Percentage_f2f_2Year_reviews</t>
  </si>
  <si>
    <t>Percentage of children in CSDS whose Date of Birth shows they turned 914 days old within the reporting period and had a  2-2½ Year Review between 691 and 914 days old where the consultation medium was face-to-face</t>
  </si>
  <si>
    <t>PERCENTAGE
numerator is Count_f2f_2Year_reviews
denominator is Total_children_age_turning_914_days</t>
  </si>
  <si>
    <t>Percentage_reviews_with_ASQ_recorded</t>
  </si>
  <si>
    <t>Percentage of children in CSDS whose Date of Birth shows they turned 914 days old within the reporting period and had a  2-2½ Year Review between 691 and 914 days old with ASQ-3TM Assessment recorded.</t>
  </si>
  <si>
    <t>CYP612.[ASQ Score Band]
CYP202.[Community Care Activity Type]
CYP001.[Person Death Date]
CYP202.[Coded Procedure]</t>
  </si>
  <si>
    <t>Person with ASQ Score</t>
  </si>
  <si>
    <t xml:space="preserve">PERCENTAGE
numerator is Count_ASQ3_Valid_scores
denominator is Count_reviews_at_2_Years
</t>
  </si>
  <si>
    <t>Count_ASQ3_Valid_scores</t>
  </si>
  <si>
    <t>Count of children in CSDS with a valid 24, 27 or 30 month ASQ-3TM score recorded in the reporting period as part of a care contact within CYP612 Coded Scored Assessment.</t>
  </si>
  <si>
    <t xml:space="preserve">CYP612.[ASQ Score Band]
CYP201.[Contact Date]
CYP001.[Person Death Date]
</t>
  </si>
  <si>
    <t>COUNT (distinct CYP612.Person_ID)_x000D_
where CYP612assess.Unique_MonthID = '$Unique_MonthID'_x000D_
AND ASQ_ScoreBand in ('C1', 'C2', 'G1', 'G2', 'F1', 'F2', 'S1', 'S2', 'P1', 'P2')_x000D_
and (CYP001.Person Death Date IS NULL or CYP001.Person Death Date &gt;= '$rpend')_x000D_
and count distinct of  CYP001.Person Birth Date is equal to 1_x000D_
AND CYP201.Contact_Date = Max(CYP201.Contact_Date)_x000D_
AND CYP612.UniqueID_CYP612 = Max (CYP612.UniqueID_CYP612)</t>
  </si>
  <si>
    <t>Count_ASQ3_AboveThreshold</t>
  </si>
  <si>
    <t>A count of children in CSDS who score above the ASQ-3TM domain threshold (see Domain Thresholds tab)</t>
  </si>
  <si>
    <t>COUNT (distinct CYP612.Person_ID)_x000D_
where CYP612assess.Unique_MonthID = '$Unique_MonthID'_x000D_
AND ASQ_ScoreBand in ('C2', 'G2', 'F2', 'S2', 'P2')_x000D_
and (CYP001.Person Death Date IS NULL or CYP001.Person Death Date &gt;= '$rpend')_x000D_
and count distinct of  CYP001.Person Birth Date is equal to 1_x000D_
AND CYP201.Contact_Date = Max(CYP201.Contact_Date)_x000D_
AND CYP612.UniqueID_CYP612 = Max (CYP612.UniqueID_CYP612)</t>
  </si>
  <si>
    <t>Count_ASQ3_Valid_scores_Communication</t>
  </si>
  <si>
    <t>COUNT (distinct CYP612.Person_ID)
where CYP612assess.Unique_MonthID = '$Unique_MonthID'
AND ASQ_ScoreBand in ('C1', 'C2')
and (CYP001.Person Death Date IS NULL or CYP001.Person Death Date &gt;= '$rpend')
and count distinct of  CYP001.Person Birth Date is equal to 1
AND CYP201.Contact_Date = Max(CYP201.Contact_Date)
AND CYP612.UniqueID_CYP612 = Max (CYP612.UniqueID_CYP612)</t>
  </si>
  <si>
    <t>Count_ASQ3_above_threshold_scores_Communication</t>
  </si>
  <si>
    <t>COUNT (distinct CYP612.Person_ID)
where CYP612assess.Unique_MonthID = '$Unique_MonthID'
AND ASQ_ScoreBand = ('C2')
and (CYP001.Person Death Date IS NULL or CYP001.Person Death Date &gt;= '$rpend')
and count distinct of  CYP001.Person Birth Date is equal to 1
AND CYP201.Contact_Date = Max(CYP201.Contact_Date)
AND CYP612.UniqueID_CYP612 = Max (CYP612.UniqueID_CYP612)</t>
  </si>
  <si>
    <t>Percentage_ASQ3_above_threshold_scores_Communication</t>
  </si>
  <si>
    <t xml:space="preserve">PERCENTAGE
numerator is Count_ASQ3_above_threshold_scores_Communication
denominator is Count_ASQ3_Valid_scores_Communication
</t>
  </si>
  <si>
    <t>Count_ASQ3_Valid_scores_GrossMotor</t>
  </si>
  <si>
    <t>COUNT (distinct CYP612.Person_ID)
where CYP612assess.Unique_MonthID = '$Unique_MonthID'
AND ASQ_ScoreBand in ('G1', 'G2')
and (CYP001.Person Death Date IS NULL or CYP001.Person Death Date &gt;= '$rpend')
and count distinct of  CYP001.Person Birth Date is equal to 1
AND CYP201.Contact_Date = Max(CYP201.Contact_Date)
AND CYP612.UniqueID_CYP612 = Max (CYP612.UniqueID_CYP612)</t>
  </si>
  <si>
    <t>Count_ASQ3_above_threshold_scores_GrossMotor</t>
  </si>
  <si>
    <t>COUNT (distinct CYP612.Person_ID)
where CYP612assess.Unique_MonthID = '$Unique_MonthID'
AND ASQ_ScoreBand = ('G2')
and (CYP001.Person Death Date IS NULL or CYP001.Person Death Date &gt;= '$rpend')
and count distinct of  CYP001.Person Birth Date is equal to 1
AND CYP201.Contact_Date = Max(CYP201.Contact_Date)
AND CYP612.UniqueID_CYP612 = Max (CYP612.UniqueID_CYP612)</t>
  </si>
  <si>
    <t>Percentage_ASQ3_above_threshold_scores_GrossMotor</t>
  </si>
  <si>
    <t xml:space="preserve">PERCENTAGE
numerator is Count_ASQ3_above_threshold_scores_GrossMotor
denominator is Count_ASQ3_Valid_scores_GrossMotor
</t>
  </si>
  <si>
    <t>Count_ASQ3_Valid_scores_FineMotor</t>
  </si>
  <si>
    <t>COUNT (distinct CYP612.Person_ID)
where CYP612assess.Unique_MonthID = '$Unique_MonthID'
AND ASQ_ScoreBand in ('F1', 'F2')
and (CYP001.Person Death Date IS NULL or CYP001.Person Death Date &gt;= '$rpend')
and count distinct of  CYP001.Person Birth Date is equal to 1
AND CYP201.Contact_Date = Max(CYP201.Contact_Date)
AND CYP612.UniqueID_CYP612 = Max (CYP612.UniqueID_CYP612)</t>
  </si>
  <si>
    <t>Count_ASQ3_above_threshold_scores_FineMotor</t>
  </si>
  <si>
    <t>COUNT (distinct CYP612.Person_ID)
where CYP612assess.Unique_MonthID = '$Unique_MonthID'
AND ASQ_ScoreBand = ('F2')
and (CYP001.Person Death Date IS NULL or CYP001.Person Death Date &gt;= '$rpend')
and count distinct of  CYP001.Person Birth Date is equal to 1
AND CYP201.Contact_Date = Max(CYP201.Contact_Date)
AND CYP612.UniqueID_CYP612 = Max (CYP612.UniqueID_CYP612)</t>
  </si>
  <si>
    <t>Percentage_ASQ3_above_threshold_scores_FineMotor</t>
  </si>
  <si>
    <t xml:space="preserve">PERCENTAGE
numerator is Count_ASQ3_above_threshold_scores_FineMotor
denominator is Count_ASQ3_Valid_scores_FineMotor
</t>
  </si>
  <si>
    <t>Count_ASQ3_Valid_scores_PersonalSocial</t>
  </si>
  <si>
    <t>COUNT (distinct CYP612.Person_ID)
where CYP612assess.Unique_MonthID = '$Unique_MonthID'
AND ASQ_ScoreBand in ('S1', 'S2')
and (CYP001.Person Death Date IS NULL or CYP001.Person Death Date &gt;= '$rpend')
and count distinct of  CYP001.Person Birth Date is equal to 1
AND CYP201.Contact_Date = Max(CYP201.Contact_Date)
AND CYP612.UniqueID_CYP612 = Max (CYP612.UniqueID_CYP612)</t>
  </si>
  <si>
    <t>Count_ASQ3_above_threshold_scores_PersonalSocial</t>
  </si>
  <si>
    <t>COUNT (distinct CYP612.Person_ID)
where CYP612assess.Unique_MonthID = '$Unique_MonthID'
AND ASQ_ScoreBand = ('S2')
and (CYP001.Person Death Date IS NULL or CYP001.Person Death Date &gt;= '$rpend')
and count distinct of  CYP001.Person Birth Date is equal to 1
AND CYP201.Contact_Date = Max(CYP201.Contact_Date)
AND CYP612.UniqueID_CYP612 = Max (CYP612.UniqueID_CYP612)</t>
  </si>
  <si>
    <t>Percentage_ASQ3_above_threshold_scores_PersonalSocial</t>
  </si>
  <si>
    <t xml:space="preserve">PERCENTAGE
numerator is Count_ASQ3_above_threshold_scores_PersonalSocial
denominator is Count_ASQ3_Valid_scores_PersonalSocial
</t>
  </si>
  <si>
    <t>Count_ASQ3_Valid_scores_ProblemSolving</t>
  </si>
  <si>
    <t>COUNT (distinct CYP612.Person_ID)
where CYP612assess.Unique_MonthID = '$Unique_MonthID'
AND ASQ_ScoreBand in ('P1', 'P2')
and (CYP001.Person Death Date IS NULL or CYP001.Person Death Date &gt;= '$rpend')
and count distinct of  CYP001.Person Birth Date is equal to 1
AND CYP201.Contact_Date = Max(CYP201.Contact_Date)
AND CYP612.UniqueID_CYP612 = Max (CYP612.UniqueID_CYP612)</t>
  </si>
  <si>
    <t>Count_ASQ3_above_threshold_scores_ProblemSolving</t>
  </si>
  <si>
    <t>COUNT (distinct CYP612.Person_ID)
where CYP612assess.Unique_MonthID = '$Unique_MonthID'
AND ASQ_ScoreBand = ('P2')
and (CYP001.Person Death Date IS NULL or CYP001.Person Death Date &gt;= '$rpend')
and count distinct of  CYP001.Person Birth Date is equal to 1
AND CYP201.Contact_Date = Max(CYP201.Contact_Date)
AND CYP612.UniqueID_CYP612 = Max (CYP612.UniqueID_CYP612)</t>
  </si>
  <si>
    <t>Percentage_ASQ3_above_threshold_scores_ProblemSolving</t>
  </si>
  <si>
    <t xml:space="preserve">PERCENTAGE
numerator is Count_ASQ3_above_threshold_scores_ProblemSolving
denominator is Count_ASQ3_Valid_scores_ProblemSolving
</t>
  </si>
  <si>
    <t>Count_ASQ3_Valid_scores_All</t>
  </si>
  <si>
    <t>COUNT (distinct CYP612.Person_ID)
where CYP612assess.Unique_MonthID = '$Unique_MonthID'
AND 
(ASQ_ScoreBand in ('C1', 'C2') AND ('G1', 'G2') AND ('F1', 'F2') AND ('S1', 'S2') AND ('P1', 'P2'))
and (CYP001.Person Death Date IS NULL or CYP001.Person Death Date &gt;= '$rpend')
and count distinct of  CYP001.Person Birth Date is equal to 1
AND CYP201.Contact_Date = Max(CYP201.Contact_Date)
AND CYP612.UniqueID_CYP612 = Max (CYP612.UniqueID_CYP612)</t>
  </si>
  <si>
    <t>Count_ASQ3_above_threshold_scores_All</t>
  </si>
  <si>
    <t xml:space="preserve">COUNT (distinct CYP612.Person_ID)
where CYP612assess.Unique_MonthID = '$Unique_MonthID'
AND (ASQ_ScoreBand in ('C2') AND ('G2') AND ('F2') AND ('S2') AND ('P2'))
and (CYP001.Person Death Date IS NULL or CYP001.Person Death Date &gt;= '$rpend')
and count distinct of  CYP001.Person Birth Date is equal to 1
AND CYP201.Contact_Date = Max(CYP201.Contact_Date)
AND CYP612.UniqueID_CYP612 = Max (CYP612.UniqueID_CYP612)
</t>
  </si>
  <si>
    <t>Percentage_ASQ3_above_threshold_scores_All</t>
  </si>
  <si>
    <t xml:space="preserve">PERCENTAGE
numerator is Count_ASQ3_above_threshold_scores_All
denominator is Count_ASQ3_Valid_scores_All
</t>
  </si>
  <si>
    <t>Data Quality Measures Metadata</t>
  </si>
  <si>
    <t>This table contains information about interpreting the contents of the CSDS Data Quality file. The table describes how each data quality measure is displayed in the file.
"Default" is a subset of "Valid".</t>
  </si>
  <si>
    <t>Table 1: File construction.</t>
  </si>
  <si>
    <t>ReportingPeriodStartDate</t>
  </si>
  <si>
    <t>ReportingPeriodEndDate</t>
  </si>
  <si>
    <t>End of the submission and reporting period</t>
  </si>
  <si>
    <t>Org_Code</t>
  </si>
  <si>
    <t>DataTable</t>
  </si>
  <si>
    <t>The table in CSDS in which the field is included.</t>
  </si>
  <si>
    <t>UID</t>
  </si>
  <si>
    <r>
      <t xml:space="preserve">The unique identifier of the field or table referred to. </t>
    </r>
    <r>
      <rPr>
        <b/>
        <sz val="11"/>
        <rFont val="Arial"/>
        <family val="2"/>
      </rPr>
      <t>CYP</t>
    </r>
    <r>
      <rPr>
        <sz val="11"/>
        <rFont val="Arial"/>
        <family val="2"/>
      </rPr>
      <t xml:space="preserve">[XXX] refers to a table submission </t>
    </r>
    <r>
      <rPr>
        <b/>
        <sz val="11"/>
        <rFont val="Arial"/>
        <family val="2"/>
      </rPr>
      <t>C</t>
    </r>
    <r>
      <rPr>
        <sz val="11"/>
        <rFont val="Arial"/>
        <family val="2"/>
      </rPr>
      <t>[XXXXXX] refers to an idividual data item.
'</t>
    </r>
    <r>
      <rPr>
        <b/>
        <sz val="11"/>
        <rFont val="Arial"/>
        <family val="2"/>
      </rPr>
      <t>ALL</t>
    </r>
    <r>
      <rPr>
        <sz val="11"/>
        <rFont val="Arial"/>
        <family val="2"/>
      </rPr>
      <t>' indicates that an overall submission was made.</t>
    </r>
  </si>
  <si>
    <t>DataItem</t>
  </si>
  <si>
    <t>A description of the table or data item referred to.</t>
  </si>
  <si>
    <t>Valid</t>
  </si>
  <si>
    <t>The number of records that were valid</t>
  </si>
  <si>
    <t>Default</t>
  </si>
  <si>
    <t>The number of records that were default. Default values are typically those where values are submitted as 'not known' or 'other'. e.g. PrimaryReferralReason = 999 ('Reason for referral not known').
Please refer to the published Technical Output Specification (TOS) published on the dataset homepage for a full list.</t>
  </si>
  <si>
    <t>Invalid</t>
  </si>
  <si>
    <t>The number of records that were invalid. Please refer to the TOS for details of the validation rules for each data item.</t>
  </si>
  <si>
    <t>Missing</t>
  </si>
  <si>
    <t>The number of records that were missing</t>
  </si>
  <si>
    <t>Denominator</t>
  </si>
  <si>
    <t>The total number of records submitted.</t>
  </si>
  <si>
    <t>Table 2: Sample data.</t>
  </si>
  <si>
    <t>ReportingPeriod StartDate</t>
  </si>
  <si>
    <t>ReportingPeriod EndDate</t>
  </si>
  <si>
    <r>
      <t>Submission level information</t>
    </r>
    <r>
      <rPr>
        <sz val="11"/>
        <color rgb="FF404040"/>
        <rFont val="Arial"/>
        <family val="2"/>
      </rPr>
      <t xml:space="preserve"> (this organisation submitted this month)</t>
    </r>
  </si>
  <si>
    <t>XXX</t>
  </si>
  <si>
    <t>All</t>
  </si>
  <si>
    <t>Organisation Submission</t>
  </si>
  <si>
    <r>
      <t xml:space="preserve">Table level information </t>
    </r>
    <r>
      <rPr>
        <sz val="11"/>
        <color rgb="FF404040"/>
        <rFont val="Arial"/>
        <family val="2"/>
      </rPr>
      <t>(tables CYP001 &amp; CYP002 were submitted, CYP003 was not submitted)</t>
    </r>
  </si>
  <si>
    <t>CYP001 Master Patient Index and Risk Indicators</t>
  </si>
  <si>
    <t>CYP001 Table Submission</t>
  </si>
  <si>
    <t>CYP002 GP Practice Registration</t>
  </si>
  <si>
    <t>CYP002</t>
  </si>
  <si>
    <t>CYP002 Table Submission</t>
  </si>
  <si>
    <t>CYP003 Accommodation Type</t>
  </si>
  <si>
    <t>CYP003</t>
  </si>
  <si>
    <t>CYP003 Table Submission</t>
  </si>
  <si>
    <t>Field level information</t>
  </si>
  <si>
    <t>CYP101 Service or Team Referral</t>
  </si>
  <si>
    <t>C101010</t>
  </si>
  <si>
    <t>REFERRAL REQUEST RECEIVED DATE</t>
  </si>
  <si>
    <t>C101020</t>
  </si>
  <si>
    <t>REFERRAL REQUEST RECEIVED TIME</t>
  </si>
  <si>
    <t>C101030</t>
  </si>
  <si>
    <t>SOURCE OF REFERRAL FOR COMMUNITY</t>
  </si>
  <si>
    <t>C101040</t>
  </si>
  <si>
    <t>ORGANISATION IDENTIFIER (REFERRING)</t>
  </si>
  <si>
    <t>C101050</t>
  </si>
  <si>
    <t>REFERRING CARE PROFESSIONAL STAFF GROUP (MENTAL HEALTH AND COMMUNITY CARE)</t>
  </si>
  <si>
    <t>C101060</t>
  </si>
  <si>
    <t>PRIORITY TYPE CODE</t>
  </si>
  <si>
    <t>C101070</t>
  </si>
  <si>
    <t>PRIMARY REASON FOR REFERRAL (COMMUNITY CARE)</t>
  </si>
  <si>
    <t>C101080</t>
  </si>
  <si>
    <t>SERVICE DISCHARGE DATE</t>
  </si>
  <si>
    <t>ASQ3</t>
  </si>
  <si>
    <t>Ages &amp; Stages Questionnaires ®, Third Edition</t>
  </si>
  <si>
    <t>CSDS</t>
  </si>
  <si>
    <t>Community Services Data Set</t>
  </si>
  <si>
    <t>CSV</t>
  </si>
  <si>
    <t>Comma Separated Variable file</t>
  </si>
  <si>
    <t xml:space="preserve">CYP </t>
  </si>
  <si>
    <t>Children and Young People</t>
  </si>
  <si>
    <t>CYPHS</t>
  </si>
  <si>
    <t>Children and Young People's Health Services Data set</t>
  </si>
  <si>
    <t>VODIM</t>
  </si>
  <si>
    <t>Valid, Other, Default, Invalid, Missing</t>
  </si>
  <si>
    <t>3.0</t>
  </si>
  <si>
    <t>Total number of care activities that occurred at a care contact with people of any age, which took place in the current period</t>
  </si>
  <si>
    <t>Total number of people of any age, who had a care contact during the current period</t>
  </si>
  <si>
    <t>Total number of referrals submitted within the current period for people of any age</t>
  </si>
  <si>
    <t>CS01a</t>
  </si>
  <si>
    <t>CS01b</t>
  </si>
  <si>
    <t>CS01c</t>
  </si>
  <si>
    <t>CS02a</t>
  </si>
  <si>
    <t>CS02b</t>
  </si>
  <si>
    <t>CS02c</t>
  </si>
  <si>
    <t>CS03a</t>
  </si>
  <si>
    <t>CS03b</t>
  </si>
  <si>
    <t>CS03c</t>
  </si>
  <si>
    <t>CS04a</t>
  </si>
  <si>
    <t>CS04b</t>
  </si>
  <si>
    <t>CS04c</t>
  </si>
  <si>
    <t>CS05a</t>
  </si>
  <si>
    <t>CS05b</t>
  </si>
  <si>
    <t>CS05c</t>
  </si>
  <si>
    <t>Total number of people aged between 19 and 64 with referrals submitted within the current period</t>
  </si>
  <si>
    <t>Total number of people aged over 64 with referrals submitted within the current period</t>
  </si>
  <si>
    <t>Count of people aged under 19 with a referral submitted during the current period</t>
  </si>
  <si>
    <t>Count of people aged over 64 with a referral submitted during the current period</t>
  </si>
  <si>
    <t>Count of referrals submitted within the current period by gender, for people aged under 19</t>
  </si>
  <si>
    <t>Count of referrals submitted within the current period by gender, for people aged between 19 and 64</t>
  </si>
  <si>
    <t>Count of referrals submitted within the current period by gender, for people aged over 64</t>
  </si>
  <si>
    <t>Count of referrals submitted within the current period by 5 year age-band and primary reason for referral</t>
  </si>
  <si>
    <t>Count of referrals submitted within the current period by primary reason for referral, for people aged under 19</t>
  </si>
  <si>
    <t>Count of referrals submitted within the current period by primary reason for referral, for people aged between 19 and 64</t>
  </si>
  <si>
    <t>Count of referrals submitted within the current period by primary reason for referral, for people aged over 64</t>
  </si>
  <si>
    <t>Total number of people with a referral submitted during the current period from people of any age</t>
  </si>
  <si>
    <t>Count of people aged between 19 and 64 with a referral submitted during the current period</t>
  </si>
  <si>
    <t>Total number of care activities that occurred at a care contact which took place in the current period with people aged under 19</t>
  </si>
  <si>
    <t xml:space="preserve">Count of people who had a care contact during the current period by five year age-band </t>
  </si>
  <si>
    <t>Count of people aged 19-64 who had a care contact during the current period</t>
  </si>
  <si>
    <t xml:space="preserve">Count of people aged over 64 who had a care contact during the current period </t>
  </si>
  <si>
    <t>Count of referrals submitted within the current period by primary reason for referral</t>
  </si>
  <si>
    <t>UniqueCareContacts</t>
  </si>
  <si>
    <t>Total number of people aged under 19 with referrals submitted within the current period</t>
  </si>
  <si>
    <t>Dimension/Breakdown</t>
  </si>
  <si>
    <t>TotalReferrals/
MEASURE_VALUE</t>
  </si>
  <si>
    <t>TotalReferrals/
 MEASURE_VALUE_0_18</t>
  </si>
  <si>
    <t>TotalReferrals/ 
MEASURE_VALUE_19_64</t>
  </si>
  <si>
    <t>TotalReferrals/
MEASURE_VALUE_65_PLUS</t>
  </si>
  <si>
    <t>AgeYr_Referral_ReceivedDate_Gender_Referrals/
MEASURE
MEASURE_2
MEASURE_VALUE</t>
  </si>
  <si>
    <t>AgeYr_Referral_ReceivedDate_Gender_Referrals/
MEASURE
MEASURE_2
MEASURE_VALUE_0_18</t>
  </si>
  <si>
    <t>AgeYr_Referral_ReceivedDate_Gender_Referrals/
MEASURE
MEASURE_2
MEASURE_VALUE_19_64</t>
  </si>
  <si>
    <t>AgeYr_Referral_ReceivedDate_Gender_Referrals/
MEASURE
MEASURE_2
MEASURE_VALUE_65_PLUS</t>
  </si>
  <si>
    <t>AgeYr_Referral_ReceivedDate_Group_PrimaryReferralReason/
MEASURE
MEASURE_2
MEASURE_VALUE</t>
  </si>
  <si>
    <t>AgeYr_Referral_ReceivedDate_Group_PrimaryReferralReason/
MEASURE_2
MEASURE_VALUE_0_18</t>
  </si>
  <si>
    <t>AgeYr_Referral_ReceivedDate_Group_PrimaryReferralReason/
MEASURE_2
MEASURE_VALUE_19_64</t>
  </si>
  <si>
    <t>AgeYr_Referral_ReceivedDate_Group_PrimaryReferralReason/
MEASURE_2
MEASURE_VALUE_65_PLUS</t>
  </si>
  <si>
    <r>
      <t xml:space="preserve">
</t>
    </r>
    <r>
      <rPr>
        <b/>
        <sz val="11"/>
        <rFont val="Arial"/>
        <family val="2"/>
      </rPr>
      <t>TotalPatientWithReferral/
MEASURE_VALUE</t>
    </r>
    <r>
      <rPr>
        <b/>
        <sz val="11"/>
        <color rgb="FFFF0000"/>
        <rFont val="Arial"/>
        <family val="2"/>
      </rPr>
      <t xml:space="preserve">
</t>
    </r>
  </si>
  <si>
    <r>
      <t xml:space="preserve">
TotalPatientWithReferral/
MEASURE_VALUE_0_18</t>
    </r>
    <r>
      <rPr>
        <i/>
        <sz val="11"/>
        <color rgb="FFFF0000"/>
        <rFont val="Arial"/>
        <family val="2"/>
      </rPr>
      <t xml:space="preserve">
</t>
    </r>
  </si>
  <si>
    <r>
      <t xml:space="preserve">
TotalPatientWithReferral /
MEASURE_VALUE_19_64</t>
    </r>
    <r>
      <rPr>
        <i/>
        <sz val="11"/>
        <color rgb="FFFF0000"/>
        <rFont val="Arial"/>
        <family val="2"/>
      </rPr>
      <t xml:space="preserve">
</t>
    </r>
  </si>
  <si>
    <r>
      <t xml:space="preserve">
TotalPatientWithReferral/
MEASURE_VALUE_65_PLUS</t>
    </r>
    <r>
      <rPr>
        <i/>
        <sz val="11"/>
        <color rgb="FFFF0000"/>
        <rFont val="Arial"/>
        <family val="2"/>
      </rPr>
      <t xml:space="preserve">
</t>
    </r>
  </si>
  <si>
    <t>TotalPatientWithReferralAndGender/
MEASURE_VALUE_0_18</t>
  </si>
  <si>
    <t>TotalPatientWithReferralAndGender/
MEASURE_VALUE_19_64</t>
  </si>
  <si>
    <t>TotalPatientWithReferralAndGender/
MEASURE_VALUE_65_PLUS</t>
  </si>
  <si>
    <t xml:space="preserve">TotalCareContacts/
MEASURE_VALUE_19_64
</t>
  </si>
  <si>
    <t>Age_CareContactDate_Gender/
MEASURE
MEASURE_2</t>
  </si>
  <si>
    <t>TotalPatientWithCareContactAndGender/
MEASURE_VALUE_0_18</t>
  </si>
  <si>
    <t>TotalPatientWithCareContactAndGender/
MEASURE_VALUE_19_64</t>
  </si>
  <si>
    <t>TotalPatientWithCareContactAndGender/
MEASURE_VALUE_65_PLUS</t>
  </si>
  <si>
    <t>TotalCareActivities/
MEASURE_VALUE_0_18</t>
  </si>
  <si>
    <t>TotalCareActivities/
MEASURE_VALUE_19_64</t>
  </si>
  <si>
    <t>TotalCareActivities/
MEASURE_VALUE_65_PLUS</t>
  </si>
  <si>
    <t>Age_CareContactDate_Group/
MEASURE</t>
  </si>
  <si>
    <t>refer to TotalPatientWithCareContact/ dimension then
Count(distinct case when .AgeYr_Referral_ReceivedDate between 19 and 64 then Referrals else null end )</t>
  </si>
  <si>
    <t>Referral = concat(cyp101referral.Person_ID,cyp101referral.Unique_ServiceRequestID)
COUNT (distinct Referral) 
where 
cyp101referral.Unique_MonthID = 'Unique_MonthID' and 
cyp101referral.ReferralRequest_ReceivedDate between 'ReportingStartDate' and 'ReportingEndDate'
when cyp101referral.PrimaryReferralReason in ('001','002','003','004','005','006','007','008','009','010','011','012','013','014','015','017','018','019','020','021','022','023','024','025','026','027','028','029','030','031','032','033','034','035','036','037','038','039','040','041','042','043','044','045','046','047','048','049','050','051','052','053','054','055','056','057','058','059','060','061','062','063','064','065','066','067','068','069','070','071','072','073','074','075','076','077','078','079','080','081','082','083','084','085','086','087','088','999') and 
cyp101referral.AgeYr_Referral_ReceivedDate between 0 and 120
then group by cyp101referral.AgeBand_Referral_ReceivedDate, cyp101referral.PrimaryReferralReason 
else group into catch all 'MV/OP' category</t>
  </si>
  <si>
    <t xml:space="preserve">cyp001mpi
cyp101referrals
</t>
  </si>
  <si>
    <t>cyp001mpi
cyp101referrals</t>
  </si>
  <si>
    <t>cyp001mpi
cyp101referrals
cyp201carecontacts</t>
  </si>
  <si>
    <t>cyp001mpi
cyp101referrals
cyp102servicetypereferredto
cyp201carecontacts</t>
  </si>
  <si>
    <t>Count of referrals submitted within the current period by primary reason for referral for people aged under 19</t>
  </si>
  <si>
    <t>Count of referrals submitted within the current period by primary reason for referral for people aged between 19 and 64</t>
  </si>
  <si>
    <t>Count of referrals submitted within the current period by primary reason for referral for people aged over 64</t>
  </si>
  <si>
    <t xml:space="preserve">COUNT (distinct cyp201carecontact.Unique_CareContactID)
where 
cyp201carecontact.Unique_MonthID = 'Unique_MonthID' and 
cyp201carecontact.Contact_Date between  'ReportingStartDate' and 'ReportingEndDate' 
group by 
case 
  when cyp201carecontact.Consultation_Type in ('01','02') then cyp201carecontact.Consultation_Type 
  else group into catch all 'MV/OP' category </t>
  </si>
  <si>
    <t>AgeYr_Referral_ReceivedDate_Gender_PatientWithReferrals/
MEASURE
MEASURE_2</t>
  </si>
  <si>
    <t>AgeYr_Referral_ReceivedDate_Gender_PatientWithReferrals/
MEASURE_VALUE_0_18
MEASURE_2</t>
  </si>
  <si>
    <t xml:space="preserve">TotalPatientWithReferralAndGender/
MEASURE_VALUE
</t>
  </si>
  <si>
    <t>TotalCareContacts/
MEASURE_VALUE</t>
  </si>
  <si>
    <t>TotalPatientWithCareContact/
MEASURE_VALUE</t>
  </si>
  <si>
    <t>TotalPatientWithCareContactAndGender/
MEASURE_VALUE</t>
  </si>
  <si>
    <t>TotalCareActivities/
MEASURE_VALUE</t>
  </si>
  <si>
    <t>Count of referrals submitted within the current period by gender and 5 year age-band</t>
  </si>
  <si>
    <t>Gender/
MEASURE_VALUE_0_18</t>
  </si>
  <si>
    <t>Gender/
MEASURE_VALUE_19_64</t>
  </si>
  <si>
    <t>Gender/
MEASURE_VALUE_65_PLUS</t>
  </si>
  <si>
    <t>Gender
MEASURE (PatientWithReferral)
MEASURE_VALUE</t>
  </si>
  <si>
    <t>Total number of care activities that occurred at a care contact which took place in the current period with people aged 19-64</t>
  </si>
  <si>
    <t>Total number of care activities that occurred at a care contact which took place in the current period with people aged over 64</t>
  </si>
  <si>
    <t>Count of people aged under 19 with a defined gender, with a care contact submitted during the current period</t>
  </si>
  <si>
    <t>Count of people aged between 19 and 64 with a referral submitted within the current period and a recorded gender</t>
  </si>
  <si>
    <t>Count of people aged over 64 with a referral submitted within the current periodand a recorded gender</t>
  </si>
  <si>
    <r>
      <t>T</t>
    </r>
    <r>
      <rPr>
        <b/>
        <sz val="11"/>
        <rFont val="Arial"/>
        <family val="2"/>
      </rPr>
      <t>ables used (all)</t>
    </r>
  </si>
  <si>
    <t xml:space="preserve">Current available levels are All_Submitters, NHS England (Region), ICB, Local Authority of Residence (Upper) and Provider </t>
  </si>
  <si>
    <t>Count of people of any age with a defined gender, with a care contact submitted during the current period</t>
  </si>
  <si>
    <t>Count of people aged 19 to 64 with a defined gender, with a care contact submitted during the current period</t>
  </si>
  <si>
    <t>Count of people over 64 with a defined gender, with a care contact submitted during the current period</t>
  </si>
  <si>
    <t>CSG02</t>
  </si>
  <si>
    <t>CSG02a</t>
  </si>
  <si>
    <t>CSG02b</t>
  </si>
  <si>
    <t>CSG02c</t>
  </si>
  <si>
    <t>CSG002</t>
  </si>
  <si>
    <t>CSG002a</t>
  </si>
  <si>
    <t>CSG002b</t>
  </si>
  <si>
    <t>CSG002c</t>
  </si>
  <si>
    <t>CS003a</t>
  </si>
  <si>
    <t>CS003b</t>
  </si>
  <si>
    <t>CS003c</t>
  </si>
  <si>
    <t>CS003</t>
  </si>
  <si>
    <t>CSC03</t>
  </si>
  <si>
    <t>CSC03a</t>
  </si>
  <si>
    <t>CSC03b</t>
  </si>
  <si>
    <t>CSC03c</t>
  </si>
  <si>
    <t>CSG001</t>
  </si>
  <si>
    <t>CSG001a</t>
  </si>
  <si>
    <t>CSG001b</t>
  </si>
  <si>
    <t>CSG001c</t>
  </si>
  <si>
    <t>CS002</t>
  </si>
  <si>
    <t>CS002a</t>
  </si>
  <si>
    <t>CS002b</t>
  </si>
  <si>
    <t>CS002c</t>
  </si>
  <si>
    <t>CS07</t>
  </si>
  <si>
    <t>CS07a</t>
  </si>
  <si>
    <t>CS07b</t>
  </si>
  <si>
    <t>CS07c</t>
  </si>
  <si>
    <t>CS006</t>
  </si>
  <si>
    <t>CS006a</t>
  </si>
  <si>
    <t>CS006b</t>
  </si>
  <si>
    <t>CS006c</t>
  </si>
  <si>
    <t>CSS01</t>
  </si>
  <si>
    <t>CSS01a</t>
  </si>
  <si>
    <t>CSS01b</t>
  </si>
  <si>
    <t>CSS01c</t>
  </si>
  <si>
    <t>CG02</t>
  </si>
  <si>
    <t>CG02a</t>
  </si>
  <si>
    <t>CG02b</t>
  </si>
  <si>
    <t>CG02c</t>
  </si>
  <si>
    <t>CS004</t>
  </si>
  <si>
    <t>CS004a</t>
  </si>
  <si>
    <t>CS004b</t>
  </si>
  <si>
    <t>CS004c</t>
  </si>
  <si>
    <t>CG005</t>
  </si>
  <si>
    <t>CG005a</t>
  </si>
  <si>
    <t>CG005b</t>
  </si>
  <si>
    <t>CG005c</t>
  </si>
  <si>
    <t>CP01</t>
  </si>
  <si>
    <t>CP01a</t>
  </si>
  <si>
    <t>CP01b</t>
  </si>
  <si>
    <t>CP01c</t>
  </si>
  <si>
    <t>CP001</t>
  </si>
  <si>
    <t>CP001a</t>
  </si>
  <si>
    <t>CP001b</t>
  </si>
  <si>
    <t>CP001c</t>
  </si>
  <si>
    <t>CCA03</t>
  </si>
  <si>
    <t>CCA03a</t>
  </si>
  <si>
    <t>CCA03c</t>
  </si>
  <si>
    <t>CCA03b</t>
  </si>
  <si>
    <t>Monthly metric order</t>
  </si>
  <si>
    <t>Monthly metric reference code</t>
  </si>
  <si>
    <t>COUNT (distinct cyp201carecontact.Unique_CareContactID)
where
cyp201carecontact.Unique_MonthID = 'Unique_MonthID' and
cyp201carecontact.Contact_Date between  'ReportingStartDate' and 'ReportingEndDate'</t>
  </si>
  <si>
    <t>COUNT (distinct cyp201carecontact.Person_ID)
where
cyp201carecontact.Unique_MonthID = 'Unique_MonthID' and
cyp201carecontact.Contact_Date between  'ReportingStartDate' and 'ReportingEndDate'</t>
  </si>
  <si>
    <t>COUNT (distinct cyp101referral.Person_ID)
where
cyp101referral.Unique_MonthID = 'Unique_MonthID' and
cyp101referral.ReferralRequest_ReceivedDate between 'ReportingStartDate' and 'ReportingEndDate'</t>
  </si>
  <si>
    <t>COUNT (distinct cyp000header.OrgID_Provider)
where
cyp000header.Unique_MonthID = 'Unique_MonthID'</t>
  </si>
  <si>
    <t>Referral = concat(cyp101referral.Person_ID,cyp101referral.Unique_ServiceRequestID)
COUNT (distinct Referral)
where
cyp101referral.Unique_MonthID = 'Unique_MonthID' and
cyp101referral.ReferralRequest_ReceivedDate between 'ReportingStartDate' and 'ReportingEndDate'</t>
  </si>
  <si>
    <t>UniqueCareContacts = concat(cyp201carecontact.Person_ID, cyp201carecontact.Unique_ServiceRequestID, cyp201carecontact.Contact_Date)
where cyp201carecontact.Unique_MonthID = 'Unique_MonthID' and
      cyp201carecontact.Contact_Date between  'ReportingStartDate' and 'ReportingEndDate'</t>
  </si>
  <si>
    <t xml:space="preserve">ActivityType, TotalCareActivities
</t>
  </si>
  <si>
    <t>Age_CareContactDate_Gender,
AttendCode_Group,
ConsultType,
ConsultType_AttendCode_Group,
ConsultationMedium
TotalCareContacts</t>
  </si>
  <si>
    <t>Age_CareContactDate_Group,
Gender, 
TotalPatientWithCareContact</t>
  </si>
  <si>
    <t>AgeYr_Referral_ReceivedDate, 
AgeYr_Referral_ReceivedDate_Gender_PatientWithReferrals,
Gender,
TotalPatientWithReferral</t>
  </si>
  <si>
    <t>AgeYr_Referral_ReceivedDate_Gender_Referrals,
AgeYr_Referral_ReceivedDate_Group_PrimaryReferralReason,
PrimaryReferralReason,
SourceOfReferral,
TotalReferrals</t>
  </si>
  <si>
    <t>(in addition to the tables used in the metric)</t>
  </si>
  <si>
    <t>COUNT (distinct cyp201carecontact.Unique_CareContactID)
where
cyp201carecontact.Unique_MonthID = 'Unique_MonthID' and
cyp201carecontact.Contact_Date between  'ReportingStartDate' and 'ReportingEndDate'
when cyp201carecontact.AgeYr_Contact_Date between 0 and 120
  and cyp001mpi.Gender in ('1','2','9','X') 
then group by
cyp201carecontact.AgeBand_Contact_Date, cyp001mpi.Gender
else group into catch all 'MV/OP' category</t>
  </si>
  <si>
    <t>COUNT (distinct cyp201carecontact.Person_ID)
where
cyp201carecontact.Unique_MonthID = 'Unique_MonthID' and
cyp201carecontact.Contact_Date between  'ReportingStartDate' and 'ReportingEndDate'
when cyp201carecontact.AgeBand_Contact_Date is not Null
 and cyp201carecontact.AgeYr_Contact_Date between 0 and 120
then group by cyp201carecontact.AgeBand_Contact_Date
else group into catch all 'MV/OP' category</t>
  </si>
  <si>
    <t xml:space="preserve">COUNT (distinct cyp101referral.Person_ID)
where
cyp101referral.Unique_MonthID = 'Unique_MonthID' and
cyp101referral.ReferralRequest_ReceivedDate between 'ReportingStartDate' and 'ReportingEndDate'
when cyp101referral.AgeYr_Referral_ReceivedDate between 0 and 120
then group by cyp101referral.AgeYr_Referral_ReceivedDate
else group into catch all 'MV/OP' category </t>
  </si>
  <si>
    <t>Referral = concat(cyp101referral.Person_ID,cyp101referral.Unique_ServiceRequestID)
COUNT (distinct Referral)
where
cyp101referral.Unique_MonthID = 'Unique_MonthID' and
cyp101referral.ReferralRequest_ReceivedDate between 'ReportingStartDate' and 'ReportingEndDate'
when cyp101referral.AgeYr_Referral_ReceivedDate between 0 and 120
  and cyp001mpi.Gender in ('1','2','9','X') 
then group by
cyp101referral.AgeBand_Referral_ReceivedDate, cyp001mpi.Gender
else group into catch all 'MV/OP' category</t>
  </si>
  <si>
    <t>Referral = concat(cyp101referral.Person_ID,cyp101referral.Unique_ServiceRequestID)
COUNT (distinct Referral)
where
cyp101referral.Unique_MonthID = 'Unique_MonthID' and
cyp101referral.ReferralRequest_ReceivedDate between 'ReportingStartDate' and 'ReportingEndDate'
when cyp101referral.PrimaryReferralReason in ('001','002','003','004','005','006','007','008','009','010','011','012','013','014','015','017','018','019','020','021','022','023','024','025','026','027','028','029','030','031','032','033','034','035','036','037','038','039','040','041','042','043','044','045','046','047','048','049','050','051','052','053','054','055','056','057','058','059','060','061','062','063','064','065','066','067','068','069','070','071','072','073','074','075','076','077','078','079','080','081','082','083','084','085','086','087','088','999') and
cyp101referral.AgeYr_Referral_ReceivedDate between 0 and 120
then group by cyp101referral.AgeBand_Referral_ReceivedDate, cyp101referral.PrimaryReferralReason
else group into catch all 'MV/OP' category</t>
  </si>
  <si>
    <t>COUNT (distinct cyp201carecontact.Unique_CareContactID)
where
cyp201carecontact.Unique_MonthID = 'Unique_MonthID' and
cyp201carecontact.Contact_Date between  'ReportingStartDate' and 'ReportingEndDate'
group by
case
  when cyp201carecontact.Consultation_Type in ('01','02') then cyp201carecontact.Consultation_Type
  else group into catch all 'MV/OP' category</t>
  </si>
  <si>
    <t xml:space="preserve">AttendOrNotCalc is derived to group AttendanceStatus codes
case when cyp201carecontact.AttendanceStatus in ('5', '6') then '1'
       when cyp201carecontact.AttendanceStatus in ('3', '7') then '2'
       when cyp201carecontact.AttendanceStatus = '2' then '3'
       when cyp201carecontact.AttendanceStatus = '4' then '4'
   else 'MV/OP' end as AttendOrNotCalc
COUNT (distinct cyp201carecontact.Unique_CareContactID)
where
cyp201carecontact.Unique_MonthID = 'Unique_MonthID' and
cyp201carecontact.Contact_Date between  'ReportingStartDate' and 'ReportingEndDate'
  when cyp201carecontact.Consultation_Type in ('01','02')
    and AttendOrNotCalc in ('1','2','3','4')
then group by
cyp201carecontact.Consultation_Type, AttendOrNotCalc
  else group into catch all 'MV/OP' category </t>
  </si>
  <si>
    <t>&lt;COUNT as detailed for Construction for 'Patient with Care Contact' OR 'Patient with Referral' in Table4&gt;
  when cyp001mpi.Gender in ('1','2','9','X')
then grou pby cyp001mpi.Gender
  else group into catch all 'MV/OP' category</t>
  </si>
  <si>
    <t>Referral = concat(cyp101referral.Person_ID,cyp101referral.Unique_ServiceRequestID)
COUNT (distinct Referral)
where
cyp101referral.Unique_MonthID = 'Unique_MonthID' and
cyp101referral.ReferralRequest_ReceivedDate between 'ReportingStartDate' and 'ReportingEndDate'
when cyp101referral.PrimaryReferralReason in ('001','002','003','004','005','006','007','008','009','010','011','012','013','014','015','017','018','019','020','021','022','023','024','025','026','027','028','029','030','031','032','033','034','035','036','037','038','039','040','041','042','043','044','045','046','047','048','049','050','051','052','053','054','055','056','057','058','059','060','061','062','063','064','065','066','067','068','069','070','071','072','073','074','075','076','077','078','079','080','081','082','083','084','085','086','087','088','999')
then group by  cyp101referral.PrimaryReferralReason
else group into catch all 'MV/OP' category</t>
  </si>
  <si>
    <t>UniqueCareContacts = concat(cyp201carecontact.Person_ID, cyp201carecontact.Unique_ServiceRequestID, cyp201carecontact.Contact_Date)
where cyp201carecontact.Unique_MonthID = 'Unique_MonthID' and
      cyp201carecontact.Contact_Date between  'ReportingStartDate' and 'ReportingEndDate'
when cyp102servicetypereferredto.TeamType in ('01','02','03','04','05','06','07','08','09','10','11','12','13','14','15','16','17','18','19','20','21','23','24','25','26','27','29','30','31','32','33','34','35','36','37','38','39','40','41','42','43','44','45','46','47','48','49','50','51','52','53','54','55','56','57','58')  
then group by  cyp102servicetypereferredto.TeamType</t>
  </si>
  <si>
    <t>COUNT (distinct cyp202careactivity.Unique_CareActivityID)
where
cyp201carecontact.Unique_MonthID = 'Unique_MonthID' and
cyp201carecontact.Contact_Date between 'ReportingStartDate' and 'ReportingEndDate'</t>
  </si>
  <si>
    <t xml:space="preserve">COUNT (distinct cyp101referral.Person_ID)
where
cyp101referral.Unique_MonthID = 'Unique_MonthID' and
cyp101referral.ReferralRequest_ReceivedDate between 'ReportingStartDate' and 'ReportingEndDate' and
cyp001mpi.Gender in ('1','2','9','X') </t>
  </si>
  <si>
    <t>COUNT (distinct cyp202careactivity.Unique_CareActivityID)
where
cyp201carecontact.Unique_MonthID = 'Unique_MonthID' and
cyp201carecontact.Contact_Date between 'ReportingStartDate' and 'ReportingEndDate'
group by
case
  when cyp202careactivity.Activity_Type in ('01','02','03','04','05','06','07','08','09','10','11','12','97') then CYP202.ActivityCode
  else group into catch all 'MV/OP' category</t>
  </si>
  <si>
    <t>AttendOrNotCalc is derived to group AttendanceStatus codes
case when cyp201carecontact.AttendanceStatus in ('5', '6') then '1'
       when cyp201carecontact.AttendanceStatus in ('3', '7') then '2'
       when cyp201carecontact.AttendanceStatus = '2' then '3'
       when cyp201carecontact.AttendanceStatus = '4' then '4'
   else 'MV/OP' end as AttendOrNotCalc
COUNT (distinct cyp201carecontact.Unique_CareContactID)
where
cyp201carecontact.Unique_MonthID = 'Unique_MonthID' and
cyp201carecontact.Contact_Date between  'ReportingStartDate' and 'ReportingEndDate'
  when AttendOrNotCalc in ('1','2','3','4')
then group by AttendOrNotCalc
  else group into catch all 'MV/OP' category</t>
  </si>
  <si>
    <t>COUNT (distinct cyp201carecontact.Unique_CareContactID)
where
cyp201carecontact.Unique_MonthID = 'Unique_MonthID' and
cyp201carecontact.Contact_Date between  'ReportingStartDate' and 'ReportingEndDate'
 when cyp201carecontact.ConsMechanism  in ('01','02','04','05','09','10','11','12','13','98')
then group by cyp201carecontact.ConsMechanism 
  else group into catch all 'MV/OP' category</t>
  </si>
  <si>
    <t>COUNT (distinct cyp101referral.Person_ID)
where
cyp101referral.Unique_MonthID = 'Unique_MonthID' and
cyp101referral.ReferralRequest_ReceivedDate between 'ReportingStartDate' and 'ReportingEndDate'
when cyp101referral.AgeYr_Referral_ReceivedDate between 0 and 120
and cyp001mpi.Gender in ('1','2','9','X')
then group by cyp101referral.AgeBand_Referral_ReceivedDate, cyp001mpi.Gender
  else group into catch all 'MV/OP' category</t>
  </si>
  <si>
    <t>COUNT (distinct Referral)
where
cyp101referral.Unique_MonthID = 'Unique_MonthID' and
cyp101referral.ReferralRequest_ReceivedDate between 'ReportingStartDate' and 'ReportingEndDate'
    when cyp101referral.SourceOfReferral in ('01','02','03','04','05','06','07','08','09','10','11','12','13','14','15','16','17','18','19','20','21','22','23','24','99')
then group by cyp101referral.SourceOfReferral
else group into catch all 'MV/OP' category</t>
  </si>
  <si>
    <t>referral_base_table cmd 5, line 35
sql code
 case when cyp101referral.AgeYr_Referral_ReceivedDate between 0 and 120 then replace(cyp101referral.AgeBand_Referral_ReceivedDate, "-", " to ") else 'MV/OP' end as  AgeYr_Referral_ReceivedDate
GBT: This section is explaining what the Total plus 3 Age Group columns to the Right of the output contain.
Count(distinct case when Age between 0 and 18 then Referrals else null end ),
Count(distinct case when Age between 19 and 64 then Referrals else null end ),
Count(distinct case when Age &gt;= 65 then Referrals else null end ),
Should this be included here? or as an overarching comment/bit of guidance?</t>
  </si>
  <si>
    <t>left join $db_output.DimFields DimG on DimG.Field = "Gender" and DimG.Code = d.Gender and d.Gender in ('1','2','9','X') 
 case when cyp101referral.AgeYr_Referral_ReceivedDate between 0 and 120 and DimG.Code is not null then d.Gender else 'MV/OP' end as AYRRD_Gender,
   coalesce(DimG.Description, 'Missing Value / Value Outside Parameters') as AYRRD_Gender_desc,
d.Gender =$db_output.referral_person_dims d
'AgeYr_Referral_ReceivedDate_Gender_Referrals', 'Referrals',  AgeYr_Referral_ReceivedDate_Gender_Referrals, AgeYr_Referral_ReceivedDate_Gender_desc, AYRRD_Gender, AgeYr_Referral_ReceivedDate_Gender_desc2,
Count(distinct Referrals) as value,
Count(distinct case when Age between 0 and 18 then Referrals else null end ),
Count(distinct case when Age between 19 and 64 then Referrals else null end ),
Count(distinct case when Age &gt;= 65 then Referrals else null end ),
from csds_analysis.referral_base_table
GROUP BY AYRRD_Gender, AgeYr_Referral_ReceivedDate_Gender_Referrals, AgeYr_Referral_ReceivedDate_Gender_desc, AgeYr_Referral_ReceivedDate_Gender_desc2, Local_Authority_Code, Local_Authority_Name, Provider_Code, Provider_Name, Region_Code, Region_Name GROUPING SETS ((AYRRD_Gender, AgeYr_Referral_ReceivedDate_Gender_Referrals, AgeYr_Referral_ReceivedDate_Gender_desc, AgeYr_Referral_ReceivedDate_Gender_desc2), (AYRRD_Gender, AgeYr_Referral_ReceivedDate_Gender_Referrals, AgeYr_Referral_ReceivedDate_Gender_desc, AgeYr_Referral_ReceivedDate_Gender_desc2, Provider_Code, Provider_Name), (AYRRD_Gender, AgeYr_Referral_ReceivedDate_Gender_Referrals, AgeYr_Referral_ReceivedDate_Gender_desc, AgeYr_Referral_ReceivedDate_Gender_desc2, Region_Code, Region_Name), (AYRRD_Gender, AgeYr_Referral_ReceivedDate_Gender_Referrals, AgeYr_Referral_ReceivedDate_Gender_desc, AgeYr_Referral_ReceivedDate_Gender_desc2, Local_Authority_Code, Local_Authority_Name))
having value &gt; 0 UNION ALL</t>
  </si>
  <si>
    <t>case when cyp101referral.AgeYr_Referral_ReceivedDate between 0 and 120 and DimRR.Code is not null then replace(cyp101referral.AgeBand_Referral_ReceivedDate, "-", " to ") else 'MV/OP' end as  AgeYr_Referral_ReceivedDate_Group_PrimaryReferralReason,
as AgeYr_Referral_ReceivedDate_Group_PrimaryReferralReason_desc,
 case when cyp101referral.AgeYr_Referral_ReceivedDate between 0 and 120 then coalesce(DimRR.Description, 'Missing Value / Value Outside Parameters') else 'Missing Value / Value Outside Parameters' end as AgeYr_Referral_ReceivedDate_Group_PrimaryReferralReason_desc2,</t>
  </si>
  <si>
    <r>
      <t xml:space="preserve">Counts by grouped Age_ServiceReferralReceivedDate (AGE AT SERVICE REFERRAL RECEIVED DATE) and ReferralReason (PRIMARY REASON FOR REFERRAL (COMMUNITY CARE))
</t>
    </r>
    <r>
      <rPr>
        <sz val="12"/>
        <color rgb="FFFF0000"/>
        <rFont val="Arial"/>
        <family val="2"/>
      </rPr>
      <t>&lt;&lt;&lt;To below&gt;&gt;&gt;
Counts by grouped
cyp101referral.AgeBand_Referral_ReceivedDate
(AGE AT SERVICE REFERRAL RECEIVED DATE) and ReferralReason (PRIMARY REASON FOR REFERRAL (COMMUNITY CARE))</t>
    </r>
  </si>
  <si>
    <t>cyp102servicetypereferredto,
cyp201carecontact</t>
  </si>
  <si>
    <t>cyp201carecontact,
cyp202careactivity</t>
  </si>
  <si>
    <t>Number of organisations successfully submitting (Provider_Code)</t>
  </si>
  <si>
    <t>cyp001mpi,
cyp101referral</t>
  </si>
  <si>
    <t>cyp201carecontact
cyp202careactivity</t>
  </si>
  <si>
    <t>care_activity_base_table
cmd 5 line 19
(checked dimension table in cmd 5)
ActivityType</t>
  </si>
  <si>
    <t xml:space="preserve">Consultation_MediumUsed
GBT: codes have changed for v1.6 - these are v1.6 codes included here
</t>
  </si>
  <si>
    <t>Visual studio
referral base table
line 51</t>
  </si>
  <si>
    <t>Visual studio
referral base tabe
line 49
concat(cyp101referral.Person_ID,cyp101referral.Unique_ServiceRequestID) as Referrals
'TotalReferrals', 'Referrals',  TotalReferrals, '', '', '',
Count(distinct Referrals) as value,
Count(distinct case when Age between 0 and 18 then Referrals else null end ),
Count(distinct case when Age between 19 and 64 then Referrals else null end ),
Count(distinct case when Age &gt;= 65 then Referrals else null end ),</t>
  </si>
  <si>
    <t>Visual studio
referral base tabe
line 49
concat(cyp101referral.Person_ID,cyp101referral.Unique_ServiceRequestID) as Referrals
'TotalReferrals', 'Referrals',  TotalReferrals, '', '', '',
Count(distinct Referrals) as value,
Count(distinct case when Age between 0 and 18 then Referrals else null end ),
Count(distinct case when Age between 19 and 64 then Referrals else null end ),
Count(distinct case when Age &gt;= 65 then Referrals else null end ),
DimG.Code = GenderCode
'AgeYr_Referral_ReceivedDate_Gender_PatientWithReferrals', 'PatientWithReferral',  AgeYr_Referral_ReceivedDate_Gender_PatientWithReferrals, AgeYr_Referral_ReceivedDate_Gender_desc, AYRRD_Gender, AgeYr_Referral_ReceivedDate_Gender_desc2,
Count(distinct PatientWithReferral) as value,
Count(distinct case when Age between 0 and 18 then PatientWithReferral else null end ),
Count(distinct case when Age between 19 and 64 then PatientWithReferral else null end ),
Count(distinct case when Age &gt;= 65 then PatientWithReferral else null end ),</t>
  </si>
  <si>
    <t>SourceOfReferral', 'Referrals',  SourceOfReferral, SourceOfReferral_desc, '', '',
Count(distinct Referrals) as value,
Count(distinct case when Age between 0 and 18 then Referrals else null end ),
Count(distinct case when Age between 19 and 64 then Referrals else null end ),
Count(distinct case when Age &gt;= 65 then Referrals else null end ),
left join $db_output.DimFields DimSR on DimSR.Field = "SourceOfReferral" and DimSR.Code = cyp101referral.SourceOfReferral
 and cyp101referral.SourceOfReferral in ('01','02','03','04','05','06','07','08','09','10','11','12','13','14','15','16','17','18','19','20','21','22','23','99')
GBT: new code  "24", "Pharmacy" added in for v1.6</t>
  </si>
  <si>
    <t xml:space="preserve">Copyright © NHS England 2023 </t>
  </si>
  <si>
    <t>Table 1a Field Names</t>
  </si>
  <si>
    <t>Table 1c Counts</t>
  </si>
  <si>
    <t>Position in DAE REF code</t>
  </si>
  <si>
    <t>Table 1c: Counts: A definition of each different type of count used in this publication</t>
  </si>
  <si>
    <t>Table 1a Field names</t>
  </si>
  <si>
    <t>Table 1b Dimensions</t>
  </si>
  <si>
    <t>A description of the field names in the Monthly CSV file.</t>
  </si>
  <si>
    <t xml:space="preserve">Descriptions of the data quality measures contained in the monthly data quality file published alongside this metadata file </t>
  </si>
  <si>
    <t>Contents</t>
  </si>
  <si>
    <t>Further explanation for each of the tabs below</t>
  </si>
  <si>
    <t>Table 2a: Fields: A broad description of each field within the CSDS HV file</t>
  </si>
  <si>
    <t>Table 2b: Dimensions: The definition of each dimension within this publication.</t>
  </si>
  <si>
    <t>Table 2b: Measures: The definition of each measure within this publication.</t>
  </si>
  <si>
    <t>A description of each field, dimension and count in the Monthly Health Visiting CSV file.</t>
  </si>
  <si>
    <t>Metadata File Notes</t>
  </si>
  <si>
    <t>Table 1a: Fields: A broad description of each field within the CSDS CSV file</t>
  </si>
  <si>
    <t xml:space="preserve">A description of each field, dimension and count in the Monthly CSV file. The CSDS data quality report is published alongside this metadata file and provides an overview of Data Quality (DQ).  Each sheet displays a particular DQ measure and is then broken down by individual DQ metrics and individual providers. The report includes VODIM (Valid, Other, Default, Invalid, Missing) tables showing metrics as counts and percentages, both nationally and by provider, for the reporting month. It also includes tables showing percentage of valid records, by data item and provider, for the reporting period. </t>
  </si>
  <si>
    <t>Description of dimension
(where possible dimensions are described in terms of the classes of information defined in NHS Data Dictionary)</t>
  </si>
  <si>
    <t>Tables used 
(in addition to the tables used for counting)</t>
  </si>
  <si>
    <t>Construction
(Any values that are constructed to be NULL are subsequently changed to 'MV/OP' in the final output)</t>
  </si>
  <si>
    <t xml:space="preserve">COUNT (distinct cyp101referral.Person_ID) 
where 
cyp101referral.Unique_MonthID = 'Unique_MonthID' and 
cyp101referral.ReferralRequest_ReceivedDate between 'ReportingStartDate' and 'ReportingEndDate' 
when cyp101referral.AgeYr_Referral_ReceivedDate between 0 and 120 
then group by cyp101referral.AgeYr_Referral_ReceivedDate 
else group into catch all 'MV/OP' category 
</t>
  </si>
  <si>
    <t>counts of cyp101referral.Person_ID,cyp101referral.Unique_ServiceRequestID GROUPED BY GENDER (PERSON STATED GENDER CODE)</t>
  </si>
  <si>
    <t>cyp001mpi, 
cyp101referral</t>
  </si>
  <si>
    <t>Counts by grouped
cyp101referral.AgeBand_Referral_ReceivedDate
(AGE AT SERVICE REFERRAL RECEIVED DATE) and ReferralReason (PRIMARY REASON FOR REFERRAL (COMMUNITY CARE))</t>
  </si>
  <si>
    <t>Counts by grouped ConsultType (CONSULTATION TYPE) and grouped AttendCode (ATTENDANCESTATUS CODE)</t>
  </si>
  <si>
    <t>cyp001mpi, 
cyp101referral OR 
cyp201carecontact</t>
  </si>
  <si>
    <t>Patient with Care Contact, 
Patient with Referral</t>
  </si>
  <si>
    <t xml:space="preserve">&lt;COUNT as detailed for Construction for 'Patient with Care Contact' OR 'Patient with Referral' in Table4&gt;
  when cyp001mpi.Gender in ('1','2','9','X') 
then group by cyp001mpi.Gender 
  else group into catch all 'MV/OP' category 
</t>
  </si>
  <si>
    <t>Counts by ServiceType (SERVICE OR TEAM TYPE REFERRED TO (COMMUNITY CARE))</t>
  </si>
  <si>
    <t>cyp102servicetypereferredto, 
cyp201carecontact</t>
  </si>
  <si>
    <t xml:space="preserve">UniqueCareContacts = concat(cyp201carecontact.Person_ID, cyp201carecontact.Unique_ServiceRequestID, cyp201carecontact.Contact_Date) 
where cyp201carecontact.Unique_MonthID = 'Unique_MonthID' and 
      cyp201carecontact.Contact_Date between  'ReportingStartDate' and 'ReportingEndDate' 
when cyp102servicetypereferredto.TeamType in ('01','02','03','04','05','06','07','08','09','10','11','12','13','14','15','16','17','18','19','20','21','23','24','25','26','27','29','30','31','32','33','34','35','36','37','38','39','40','41','42','43','44','45','46','47','48','49','50','51','52','53','54','55','56','57','58')   
then group by  cyp102servicetypereferredto.TeamType
else group into catch all 'MV/OP' category
</t>
  </si>
  <si>
    <t>Counts by CareActivity  (COMMUNITY CARE ACTIVITY TYPE) ( CARE PROFESSIONA)</t>
  </si>
  <si>
    <t>cyp201carecontact, 
cyp202careactivity</t>
  </si>
  <si>
    <t>Counts by CareContacts (UNIQUE CARE CONTACT IDENTIFIER)</t>
  </si>
  <si>
    <t>Counts by Provider_code (ORGANISATION IDENTIFIER (CODE OF PROVIDER))</t>
  </si>
  <si>
    <t xml:space="preserve">Counts by  cyp201carecontact.Person_ID </t>
  </si>
  <si>
    <t>Counts by cyp201carecontact.Person_ID Grouped by Gender (PERSON STATED GENDER CODE)</t>
  </si>
  <si>
    <t>Counts by CareActivities grouped by
 ActivityType  (COMMUNITY CARE ACTIVITY TYPE)</t>
  </si>
  <si>
    <t>Counts by Care contacts
grouped AttendCode (ATTENDANCESTATUS CODE)</t>
  </si>
  <si>
    <t>Counts by Care Contacts Grouped  by
ConsMechanism (CONSULTATION MECHANISM (COMMUNITY CARE))</t>
  </si>
  <si>
    <t>COUNT (distinct cyp201carecontact.Unique_CareContactID)
where 
cyp201carecontact.Unique_MonthID = 'Unique_MonthID' and 
cyp201carecontact.Contact_Date between  'ReportingStartDate' and 'ReportingEndDate' 
 when cyp201carecontact.ConsMechanism  in ('01','02','04','05','09','10','11','12','13','98') 
then group by cyp201carecontact.ConsMechanism  
  else group into catch all 'MV/OP' category</t>
  </si>
  <si>
    <t>counts by cyp101referral.Person_ID</t>
  </si>
  <si>
    <t xml:space="preserve">COUNT (distinct cyp101referral.Person_ID) 
where 
cyp101referral.Unique_MonthID = 'Unique_MonthID' and 
cyp101referral.ReferralRequest_ReceivedDate between 'ReportingStartDate' and 'ReportingEndDate'
</t>
  </si>
  <si>
    <t xml:space="preserve">Referral = concat(cyp101referral.Person_ID,cyp101referral.Unique_ServiceRequestID)
COUNT (distinct Referral) 
where 
cyp101referral.Unique_MonthID = 'Unique_MonthID' and 
cyp101referral.ReferralRequest_ReceivedDate between 'ReportingStartDate' and 'ReportingEndDate'
</t>
  </si>
  <si>
    <t xml:space="preserve">Construction </t>
  </si>
  <si>
    <t>Table 1b</t>
  </si>
  <si>
    <t>AttendOrNotCalc is derived to group AttendanceStatus codes
case when cyp201carecontact.AttendanceStatus in ('5', '6') then '1'
       when cyp201carecontact.AttendanceStatus in ('3', '7') then '2'
       when cyp201carecontact.AttendanceStatus = '2' then '3'
       when cyp201carecontact.AttendanceStatus = '4' then '4'
   else 'MV/OP' end as AttendOrNotCalc 
COUNT (distinct cyp201carecontact.Unique_CareContactID)
where 
cyp201carecontact.Unique_MonthID = 'Unique_MonthID' and 
cyp201carecontact.Contact_Date between  'ReportingStartDate' and 'ReportingEndDate' 
  when AttendOrNotCalc in ('1','2','3','4') 
then group by AttendOrNotCalc 
  else group into catch all 'MV/OP' category 
1 = 'Attended'
2 = 'Patient did not attend or arrived too late to be seen'
3 = 'Patient cancellation
4 = 'Health care provider cancellation'
MV/OP = 'Missing Value / Value Outside Parameters'</t>
  </si>
  <si>
    <t xml:space="preserve">COUNT (distinct cyp202careactivity.Unique_CareActivityID) 
where 
cyp201carecontact.Unique_MonthID = 'Unique_MonthID' and 
cyp201carecontact.Contact_Date between 'ReportingStartDate' and 'ReportingEndDate'
</t>
  </si>
  <si>
    <t xml:space="preserve">COUNT (distinct cyp201carecontact.Unique_CareContactID)
where 
cyp201carecontact.Unique_MonthID = 'Unique_MonthID' and 
cyp201carecontact.Contact_Date between  'ReportingStartDate' and 'ReportingEndDate'
</t>
  </si>
  <si>
    <t xml:space="preserve">COUNT (distinct cyp000header.OrgID_Provider) 
where 
cyp000header.Unique_MonthID = 'Unique_MonthID' 
</t>
  </si>
  <si>
    <t xml:space="preserve">COUNT (distinct cyp201carecontact.Person_ID) 
where 
cyp201carecontact.Unique_MonthID = 'Unique_MonthID' and 
cyp201carecontact.Contact_Date between  'ReportingStartDate' and 'ReportingEndDate'
</t>
  </si>
  <si>
    <t xml:space="preserve">COUNT (distinct cyp201carecontact.Person_ID)
where 
cyp201carecontact.Unique_MonthID = 'Unique_MonthID' and 
cyp201carecontact.Contact_Date between  'ReportingStartDate' and 'ReportingEndDate' and
cyp001mpi.Gender in ('1','2','9','X') 
</t>
  </si>
  <si>
    <t xml:space="preserve">COUNT (distinct cyp101referral.Person_ID) 
where 
cyp101referral.Unique_MonthID = 'Unique_MonthID' and 
cyp101referral.ReferralRequest_ReceivedDate between 'ReportingStartDate' and 'ReportingEndDate' and
cyp001mpi.Gender in ('1','2','9','X') 
</t>
  </si>
  <si>
    <t xml:space="preserve">COUNT (distinct cyp202careactivity.Unique_CareActivityID) 
where 
cyp201carecontact.Unique_MonthID = 'Unique_MonthID' and 
cyp201carecontact.Contact_Date between 'ReportingStartDate' and 'ReportingEndDate' 
group by 
case 
  when cyp202careactivity.Activity_Type in ('01','02','03','04','05','06','07','08','09','10','11','12','97') then CYP202.ActivityCode
  else group into catch all 'MV/OP' category
</t>
  </si>
  <si>
    <t xml:space="preserve">COUNT (distinct cyp101referral.Person_ID) 
where 
cyp101referral.Unique_MonthID = 'Unique_MonthID' and 
cyp101referral.ReferralRequest_ReceivedDate between 'ReportingStartDate' and 'ReportingEndDate'
when cyp101referral.AgeYr_Referral_ReceivedDate between 0 and 120 
and cyp001mpi.Gender in ('1','2','9','X') 
then group by cyp101referral.AgeBand_Referral_ReceivedDate, cyp001mpi.Gender 
  else group into catch all 'MV/OP' category
</t>
  </si>
  <si>
    <t xml:space="preserve">Referral = concat(cyp101referral.Person_ID,cyp101referral.Unique_ServiceRequestID)
COUNT (distinct Referral) 
where 
cyp101referral.Unique_MonthID = 'Unique_MonthID' and 
cyp101referral.ReferralRequest_ReceivedDate between 'ReportingStartDate' and 'ReportingEndDate'
    when cyp101referral.SourceOfReferral in ('01','02','03','04','05','06','07','08','09','10','11','12','13','14','15','16','17','18','19','20','21','22','23','24','99') 
then group by cyp101referral.SourceOfReferral 
else group into catch all 'MV/OP' category
</t>
  </si>
  <si>
    <t xml:space="preserve">Referral = concat(cyp101referral.Person_ID,cyp101referral.Unique_ServiceRequestID)
COUNT (distinct Referral) 
where 
cyp101referral.Unique_MonthID = 'Unique_MonthID' and 
cyp101referral.ReferralRequest_ReceivedDate between 'ReportingStartDate' and 'ReportingEndDate'
when cyp101referral.PrimaryReferralReason in ('001','002','003','004','005','006','007','008','009','010','011','012','013','014','015','017','018','019','020','021','022','023','024','025','026','027','028','029','030','031','032','033','034','035','036','037','038','039','040','041','042','043','044','045','046','047','048','049','050','051','052','053','054','055','056','057','058','059','060','061','062','063','064','065','066','067','068','069','070','071','072','073','074','075','076','077','078','079','080','081','082','083','084','085','086','087','088','999') 
then group by  cyp101referral.PrimaryReferralReason 
else group into catch all 'MV/OP' category
</t>
  </si>
  <si>
    <t xml:space="preserve">UniqueCareContacts = concat(cyp201carecontact.Person_ID, cyp201carecontact.Unique_ServiceRequestID, cyp201carecontact.Contact_Date) 
where cyp201carecontact.Unique_MonthID = 'Unique_MonthID' and 
      cyp201carecontact.Contact_Date between  'ReportingStartDate' and 'ReportingEndDate' 
when cyp102servicetypereferredto.TeamType in ('01','02','03','04','05','06','07','08','09','10','11','12','13','14','15','16','17','18','19','20','21','23','24','25','26','27','29','30','31','32','33','34','35','36','37','38','39','40','41','42','43','44','45','46','47','48','49','50','51','52','53','54','55','56','57','58')   
then group by  cyp102servicetypereferredto.TeamType
else group into catch all 'MV/OP' category
</t>
  </si>
  <si>
    <t xml:space="preserve">COUNT (distinct cyp201carecontact.Unique_CareContactID)
where 
cyp201carecontact.Unique_MonthID = 'Unique_MonthID' and 
cyp201carecontact.Contact_Date between  'ReportingStartDate' and 'ReportingEndDate'
when cyp201carecontact.AgeYr_Contact_Date between 0 and 120 
  and cyp001mpi.Gender in ('1','2','9','X')  
then group by 
cyp201carecontact.AgeBand_Contact_Date, cyp001mpi.Gender
else group into catch all 'MV/OP' category
</t>
  </si>
  <si>
    <t xml:space="preserve">COUNT (distinct cyp201carecontact.Person_ID) 
where 
cyp201carecontact.Unique_MonthID = 'Unique_MonthID' and 
cyp201carecontact.Contact_Date between  'ReportingStartDate' and 'ReportingEndDate'
when cyp201carecontact.AgeBand_Contact_Date is not Null 
 and cyp201carecontact.AgeYr_Contact_Date between 0 and 120 
then group by cyp201carecontact.AgeBand_Contact_Date 
else group into catch all 'MV/OP' category 
</t>
  </si>
  <si>
    <t xml:space="preserve">Referral = concat(cyp101referral.Person_ID,cyp101referral.Unique_ServiceRequestID)
COUNT (distinct Referral) 
where 
cyp101referral.Unique_MonthID = 'Unique_MonthID' and 
cyp101referral.ReferralRequest_ReceivedDate between 'ReportingStartDate' and 'ReportingEndDate'
when cyp101referral.AgeYr_Referral_ReceivedDate between 0 and 120 
  and cyp001mpi.Gender in ('1','2','9','X')  
then group by 
cyp101referral.AgeBand_Referral_ReceivedDate, cyp001mpi.Gender
else group into catch all 'MV/OP' category
</t>
  </si>
  <si>
    <t xml:space="preserve">AttendOrNotCalc is derived to group AttendanceStatus codes
case when cyp201carecontact.AttendanceStatus in ('5', '6') then '1'
       when cyp201carecontact.AttendanceStatus in ('3', '7') then '2'
       when cyp201carecontact.AttendanceStatus = '2' then '3'
       when cyp201carecontact.AttendanceStatus = '4' then '4'
   else 'MV/OP' end as AttendOrNotCalc 
COUNT (distinct cyp201carecontact.Unique_CareContactID)
where 
cyp201carecontact.Unique_MonthID = 'Unique_MonthID' and 
cyp201carecontact.Contact_Date between  'ReportingStartDate' and 'ReportingEndDate' 
  when cyp201carecontact.Consultation_Type in ('01','02') 
    and AttendOrNotCalc in ('1','2','3','4') 
then group by
cyp201carecontact.Consultation_Type, AttendOrNotCalc 
  else group into catch all 'MV/OP' category 
1 = 'Attended'
2 = 'Patient did not attend or arrived too late to be seen'
3 = 'Patient cancellation
4 = 'Health care provider cancellation'
MV/OP = 'Missing Value / Value Outside Parameters'
</t>
  </si>
  <si>
    <t xml:space="preserve">refer toTotalReferrals dimension then
Count(distinct case when .AgeYr_Referral_ReceivedDate between 0 and 18 then Referrals else null end )
</t>
  </si>
  <si>
    <t xml:space="preserve">refer to TotalReferrals dimension then
Count(distinct case when .AgeYr_Referral_ReceivedDate between 19 and 64 then Referrals else null end )
</t>
  </si>
  <si>
    <t xml:space="preserve">refer to TotalReferrals dimension then
Count(distinct case when .AgeYr_Referral_ReceivedDate &gt;= 65 then Referrals else null end )
</t>
  </si>
  <si>
    <t xml:space="preserve">refer to AgeYr_Referral_ReceivedDate dimension then
Count(distinct case when .AgeYr_Referral_ReceivedDate between 0 and 18 then Referrals else null end )
</t>
  </si>
  <si>
    <t xml:space="preserve">refer to AgeYr_Referral_ReceivedDate dimension then
Count(distinct case when .AgeYr_Referral_ReceivedDate between 19 and 64 then Referrals else null end )
</t>
  </si>
  <si>
    <t xml:space="preserve">refer to AgeYr_Referral_ReceivedDate dimension then
Count(distinct case when .AgeYr_Referral_ReceivedDate &gt;= 65 then Referrals else null end )
</t>
  </si>
  <si>
    <t xml:space="preserve">Referral = concat(cyp101referral.Person_ID,cyp101referral.Unique_ServiceRequestID)
COUNT (distinct Referral) 
where 
cyp101referral.Unique_MonthID = 'Unique_MonthID' and 
cyp101referral.ReferralRequest_ReceivedDate between 'ReportingStartDate' and 'ReportingEndDate'
when cyp101referral.PrimaryReferralReason in ('001','002','003','004','005','006','007','008','009','010','011','012','013','014','015','017','018','019','020','021','022','023','024','025','026','027','028','029','030','031','032','033','034','035','036','037','038','039','040','041','042','043','044','045','046','047','048','049','050','051','052','053','054','055','056','057','058','059','060','061','062','063','064','065','066','067','068','069','070','071','072','073','074','075','076','077','078','079','080','081','082','083','084','085','086','087','088','999') and 
cyp101referral.AgeYr_Referral_ReceivedDate between 0 and 120
then group by cyp101referral.AgeBand_Referral_ReceivedDate, cyp101referral.PrimaryReferralReason 
else group into catch all 'MV/OP' category
</t>
  </si>
  <si>
    <t xml:space="preserve">refer to AgeYr_Referral_ReceivedDate_Group_PrimaryReferralReason dimension then
Count(distinct case when .AgeYr_Referral_ReceivedDate between 0 and 18 then Referrals else null end )
</t>
  </si>
  <si>
    <t xml:space="preserve">refer to AgeYr_Referral_ReceivedDate_Group_PrimaryReferralReason dimension then
Count(distinct case when .AgeYr_Referral_ReceivedDate between 19 and 64 then Referrals else null end )
</t>
  </si>
  <si>
    <t xml:space="preserve">refer toAgeYr_Referral_ReceivedDate_Group_PrimaryReferralReason dimension then
Count(distinct case when .AgeYr_Referral_ReceivedDate &gt;= 65 then Referrals else null end )
</t>
  </si>
  <si>
    <t xml:space="preserve">COUNT (distinct cyp101referral.Person_ID)
Where
cyp101referral.Unique_MonthID = 'Unique_MonthID' and
cyp101referral.ReferralRequest_ReceivedDate between 'ReportingStartDate' and 'ReportingEndDate'
</t>
  </si>
  <si>
    <t xml:space="preserve">refer to TotalPatientWithReferral dimension then
Count(distinct case when .AgeYr_Referral_ReceivedDate between 0 and 18 then Referrals else null end )
</t>
  </si>
  <si>
    <t xml:space="preserve">refer to TotalPatientWithReferral dimension then
Count(distinct case when .AgeYr_Referral_ReceivedDate between 19 and 64 then Referrals else null end )
</t>
  </si>
  <si>
    <t xml:space="preserve">refer to TotalPatientWithReferral dimension then
Count(distinct case when .AgeYr_Referral_ReceivedDate &gt;= 65 then Referrals else null end )
</t>
  </si>
  <si>
    <t xml:space="preserve">refer to TotalPatientWithCareContact/ dimension then
Count(distinct case when .AgeYr_Referral_ReceivedDate between 0 and 18 then Referrals else null end )
</t>
  </si>
  <si>
    <t xml:space="preserve">refer to TotalPatientWithCareContact/ dimension then
Count(distinct case when .AgeYr_Referral_ReceivedDate between 19 and 64 then Referrals else null end )
</t>
  </si>
  <si>
    <t xml:space="preserve">refer to TotalPatientWithCareContact/ dimension then
Count(distinct case when .AgeYr_Referral_ReceivedDate &gt;= 65 then Referrals else null end )
</t>
  </si>
  <si>
    <t xml:space="preserve">COUNT (distinct cyp101referral.Person_ID) 
where 
cyp101referral.Unique_MonthID = 'Unique_MonthID' and 
cyp101referral.ReferralRequest_ReceivedDate between 'ReportingStartDate' and 'ReportingEndDate' 
when cyp101referral.AgeYr_Referral_ReceivedDate between 0 and 120 
then group by cyp101referral.AgeYr_Referral_ReceivedDate 
else group into catch all 'MV/OP' category 
</t>
  </si>
  <si>
    <t xml:space="preserve">COUNT (distinct cyp101referral.Person_ID)
where 
cyp101referral.Unique_MonthID = 'Unique_MonthID' and 
cyp101referral.ReferralRequest_ReceivedDate between 'ReportingStartDate' and 'ReportingEndDate' and
cyp001mpi.Gender in ('1','2','9','X') 
</t>
  </si>
  <si>
    <t xml:space="preserve">refer to TotalPatientWithReferralAndGender dimension then
Count(distinct case when .AgeYr_Referral_ReceivedDate between 0 and 18 then Referrals else null end )
</t>
  </si>
  <si>
    <t xml:space="preserve">refer to TotalPatientWithReferralAndGender dimension then
Count(distinct case when .AgeYr_Referral_ReceivedDate between 19 and 64 then Referrals else null end )
</t>
  </si>
  <si>
    <t xml:space="preserve">refer to TotalPatientWithReferralAndGender dimension then
Count(distinct case when .AgeYr_Referral_ReceivedDate &gt;= 65 then Referrals else null end )
</t>
  </si>
  <si>
    <t xml:space="preserve">refer to AgeYr_Referral_ReceivedDate_Gender_PatientWithReferrals dimension then
Count(distinct case when .AgeYr_Referral_ReceivedDate between 0 and 18 then Referrals else null end )
</t>
  </si>
  <si>
    <t xml:space="preserve">refer toAgeYr_Referral_ReceivedDate_Gender_PatientWithReferrals dimension then
Count(distinct case when .AgeYr_Referral_ReceivedDate between 19 and 64 then Referrals else null end )
</t>
  </si>
  <si>
    <t xml:space="preserve">refer to AgeYr_Referral_ReceivedDate_Gender_PatientWithReferrals dimension then
Count(distinct case when .AgeYr_Referral_ReceivedDate &gt;= 65 then Referrals else null end )
</t>
  </si>
  <si>
    <t xml:space="preserve">COUNT (distinct cyp201carecontact.Unique_CareContactID)  
where 
cyp201carecontact.Unique_MonthID = 'Unique_MonthID' and 
cyp201carecontact.Contact_Date between  'ReportingStartDate' and 'ReportingEndDate'
</t>
  </si>
  <si>
    <t xml:space="preserve">refer to TotalCareContacts dimension then
Count(distinct case when .AgeYr_Referral_ReceivedDate between 0 and 18 then Referrals else null end )
</t>
  </si>
  <si>
    <t xml:space="preserve">refer toTotalCareContacts dimension then
Count(distinct case when .AgeYr_Referral_ReceivedDate between 19 and 64 then Referrals else null end )
</t>
  </si>
  <si>
    <t xml:space="preserve">refer to TotalCareContacts dimension then
Count(distinct case when .AgeYr_Referral_ReceivedDate &gt;= 65 then Referrals else null end )
</t>
  </si>
  <si>
    <t xml:space="preserve">COUNT (distinct cyp201carecontact.Unique_CareContactID)  
where 
cyp201carecontact.Unique_MonthID = 'Unique_MonthID' and 
cyp201carecontact.Contact_Date between  'ReportingStartDate' and 'ReportingEndDate'
when cyp201carecontact.AgeYr_Contact_Date between 0 and 120 
  and cyp001mpi.Gender in ('1','2','9','X')  
then group by 
cyp201carecontact.AgeBand_Contact_Date, cyp001mpi.Gender
else group into catch all 'MV/OP' category
</t>
  </si>
  <si>
    <t xml:space="preserve">refer to Age_CareContactDate_Gender dimension then
Count(distinct case when .AgeYr_Referral_ReceivedDate between 0 and 18 then Referrals else null end )
</t>
  </si>
  <si>
    <t xml:space="preserve">refer toAge_CareContactDate_Gender dimension then
Count(distinct case when .AgeYr_Referral_ReceivedDate between 19 and 64 then Referrals else null end )
</t>
  </si>
  <si>
    <t xml:space="preserve">refer to Age_CareContactDate_Gender dimension then
Count(distinct case when .AgeYr_Referral_ReceivedDate &gt;= 65 then Referrals else null end )
</t>
  </si>
  <si>
    <t xml:space="preserve">COUNT (distinct cyp201carecontact.Unique_CareContactID)
where 
cyp201carecontact.Unique_MonthID = 'Unique_MonthID' and 
cyp201carecontact.Contact_Date between  'ReportingStartDate' and 'ReportingEndDate' 
group by 
case 
  when cyp201carecontact.Consultation_Type in ('01','02') then cyp201carecontact.Consultation_Type 
  else group into catch all 'MV/OP' category 
</t>
  </si>
  <si>
    <t xml:space="preserve">refer to ConsultType/ dimension then
Count(distinct case when .AgeYr_Referral_ReceivedDate between 0 and 18 then Referrals else null end )
</t>
  </si>
  <si>
    <t xml:space="preserve">refer to ConsultType/ dimension then
Count(distinct case when .AgeYr_Referral_ReceivedDate between 19 and 64 then Referrals else null end )
</t>
  </si>
  <si>
    <t xml:space="preserve">refer to ConsultType/ dimension then
Count(distinct case when .AgeYr_Referral_ReceivedDate &gt;= 65 then Referrals else null end )
</t>
  </si>
  <si>
    <t xml:space="preserve">refer to Age_CareContactDate_Group/ dimension then
Count(distinct case when .AgeYr_Referral_ReceivedDate between 0 and 18 then Referrals else null end )
</t>
  </si>
  <si>
    <t xml:space="preserve">refer to Age_CareContactDate_Group/ dimension then
Count(distinct case when .AgeYr_Referral_ReceivedDate between 19 and 64 then Referrals else null end )
</t>
  </si>
  <si>
    <t xml:space="preserve">refer toAge_CareContactDate_Group/ dimension then
Count(distinct case when .AgeYr_Referral_ReceivedDate &gt;= 65 then Referrals else null end )
</t>
  </si>
  <si>
    <t xml:space="preserve">COUNT (distinct cyp201carecontact.Person_ID)
where 
cyp201carecontact.Unique_MonthID = 'Unique_MonthID' and 
cyp201carecontact.Contact_Date between  'ReportingStartDate' and 'ReportingEndDate' and
cyp001mpi.Gender in ('1','2','9','X') 
</t>
  </si>
  <si>
    <t xml:space="preserve">refer to TotalPatientWithCareContactAndGender/ dimension then
Count(distinct case when .AgeYr_Referral_ReceivedDate between 0 and 18 then Referrals else null end )
</t>
  </si>
  <si>
    <t xml:space="preserve">refer toTotalPatientWithCareContactAndGender/ dimension then
Count(distinct case when .AgeYr_Referral_ReceivedDate between 19 and 64 then Referrals else null end )
</t>
  </si>
  <si>
    <t xml:space="preserve">refer to TotalPatientWithCareContactAndGender/ dimension then
Count(distinct case when .AgeYr_Referral_ReceivedDate &gt;= 65 then Referrals else null end )
</t>
  </si>
  <si>
    <t xml:space="preserve">COUNT (distinct cyp202careactivity.Unique_CareActivityID) 
where 
cyp201carecontact.Unique_MonthID = 'Unique_MonthID' and 
cyp201carecontact.Contact_Date between 'ReportingStartDate' and 'ReportingEndDate'
</t>
  </si>
  <si>
    <t xml:space="preserve">refer toTotalCareActivities/ dimension then
Count(distinct case when .AgeYr_Referral_ReceivedDate between 0 and 18 then Referrals else null end )
</t>
  </si>
  <si>
    <t xml:space="preserve">refer to TotalCareActivities/ dimension then
Count(distinct case when .AgeYr_Referral_ReceivedDate between 19 and 64 then Referrals else null end )
</t>
  </si>
  <si>
    <t xml:space="preserve">refer to TotalCareActivities/ dimension then
Count(distinct case when .AgeYr_Referral_ReceivedDate &gt;= 65 then Referrals else null end )
</t>
  </si>
  <si>
    <t xml:space="preserve">Age_CareContactDate_Group/
MEASURE
MEASURE_VALUE_65_PLUS
</t>
  </si>
  <si>
    <t xml:space="preserve">Age_CareContactDate_Group/
MEASURE
MEASURE_VALUE_19_64
</t>
  </si>
  <si>
    <t xml:space="preserve">Age_CareContactDate_Group/
MEASURE
MEASURE_VALUE_0_18
</t>
  </si>
  <si>
    <t xml:space="preserve">TotalPatientWithCareContact/
MEASURE_VALUE_65_PLUS
</t>
  </si>
  <si>
    <t xml:space="preserve">TotalPatientWithCareContact/
MEASURE_VALUE_19_64
</t>
  </si>
  <si>
    <t xml:space="preserve">TotalPatientWithCareContact/
MEASURE_VALUE_0_18
</t>
  </si>
  <si>
    <t xml:space="preserve">ConsultType/
MEASURE
MEASURE_VALUE_65_PLUS
</t>
  </si>
  <si>
    <t xml:space="preserve">ConsultType/
MEASURE
MEASURE_VALUE_19_64
</t>
  </si>
  <si>
    <t xml:space="preserve">ConsultType/
MEASURE
MEASURE_VALUE_0_18
</t>
  </si>
  <si>
    <t xml:space="preserve">ConsultType_AttendCode_Group/
MEASURE
MEASURE_VALUE_0_18
</t>
  </si>
  <si>
    <t xml:space="preserve">ConsultType_AttendCode_Group/
MEASURE
MEASURE_VALUE_19_64
</t>
  </si>
  <si>
    <t xml:space="preserve">ConsultType_AttendCode_Group/
MEASURE
MEASURE_VALUE_65_PLUS
</t>
  </si>
  <si>
    <t xml:space="preserve">Age_CareContactDate_Gender/
MEASURE
MEASURE_VALUE_65_PLUS
</t>
  </si>
  <si>
    <t xml:space="preserve">Age_CareContactDate_Gender/
MEASURE
MEASURE_VALUE_19_64
</t>
  </si>
  <si>
    <t xml:space="preserve">Age_CareContactDate_Gender/
MEASURE
MEASURE_VALUE_0_18
</t>
  </si>
  <si>
    <t xml:space="preserve">TotalCareContacts/
MEASURE_VALUE_65_PLUS
</t>
  </si>
  <si>
    <t xml:space="preserve">TotalCareContacts/
MEASURE_VALUE_0_18
</t>
  </si>
  <si>
    <t xml:space="preserve">AgeYr_Referral_ReceivedDate_Gender_PatientWithReferrals/
MEASURE_VALUE_65_PLUS
MEASURE_2
</t>
  </si>
  <si>
    <t xml:space="preserve">AgeYr_Referral_ReceivedDate_Gender_PatientWithReferrals/
MEASURE_VALUE_19_64
MEASURE_2
</t>
  </si>
  <si>
    <t>Count of care contacts within the current period by consultation type</t>
  </si>
  <si>
    <t xml:space="preserve">Count of care contacts within the current period by attendance status
</t>
  </si>
  <si>
    <t xml:space="preserve">Count of care contacts within the current period by attendance status for people under 19
</t>
  </si>
  <si>
    <t xml:space="preserve">Count of care contacts within the current period by attendance status for people age between 19 and 64
</t>
  </si>
  <si>
    <t xml:space="preserve">Count of care contacts within the current period by attendance status for people age over 64
</t>
  </si>
  <si>
    <t xml:space="preserve">AttendOrNotCalc is derived to group AttendanceStatus codes
case when cyp201carecontact.AttendanceStatus in ('5', '6') then '1'
       when cyp201carecontact.AttendanceStatus in ('3', '7') then '2'
       when cyp201carecontact.AttendanceStatus = '2' then '3'
       when cyp201carecontact.AttendanceStatus = '4' then '4'
   else 'MV/OP' end as AttendOrNotCalc 
COUNT (distinct cyp201carecontact.Unique_CareContactID)
where 
cyp201carecontact.Unique_MonthID = 'Unique_MonthID' and 
cyp201carecontact.Contact_Date between  'ReportingStartDate' and 'ReportingEndDate' 
  when AttendOrNotCalc in ('1','2','3','4') 
then group by AttendOrNotCalc 
  else group into catch all 'MV/OP' category 
1 = 'Attended'
2 = 'Patient did not attend or arrived too late to be seen'
3 = 'Patient cancellation
4 = 'Health care provider cancellation'
MV/OP = 'Missing Value / Value Outside Parameters'
</t>
  </si>
  <si>
    <t xml:space="preserve">
AttendOrNotCalc is derived to group AttendanceStatus codes
case when cyp201carecontact.AttendanceStatus in ('5', '6') then '1'
       when cyp201carecontact.AttendanceStatus in ('3', '7') then '2'
       when cyp201carecontact.AttendanceStatus = '2' then '3'
       when cyp201carecontact.AttendanceStatus = '4' then '4'
   else 'MV/OP' end as AttendOrNotCalc 
COUNT (distinct cyp201carecontact.Unique_CareContactID)
where 
cyp201carecontact.Unique_MonthID = 'Unique_MonthID' and 
cyp201carecontact.Contact_Date between  'ReportingStartDate' and 'ReportingEndDate' 
  when cyp201carecontact.Consultation_Type in ('01','02') 
    and AttendOrNotCalc in ('1','2','3','4') 
then group by
cyp201carecontact.Consultation_Type, AttendOrNotCalc 
  else group into catch all 'MV/OP' category
1 = 'Attended'
2 = 'Patient did not attend or arrived too late to be seen'
3 = 'Patient cancellation
4 = 'Health care provider cancellation'
MV/OP = 'Missing Value / Value Outside Parameters'
</t>
  </si>
  <si>
    <t>Counts of Care Contacts within the current period by ConsMechanism</t>
  </si>
  <si>
    <t xml:space="preserve">
COUNT (distinct cyp201carecontact.Unique_CareContactID)
where 
cyp201carecontact.Unique_MonthID = 'Unique_MonthID' and 
cyp201carecontact.Contact_Date between  'ReportingStartDate' and 'ReportingEndDate' 
 when cyp201carecontact.ConsMechanism  in ('01','02','04','05','09','10','11','12','13','98') 
then group by cyp201carecontact.ConsMechanism  
  else group into catch all 'MV/OP' category
</t>
  </si>
  <si>
    <t xml:space="preserve">
Counts of Care Contacts within the current period by ConsMechanism and for people age under 19
</t>
  </si>
  <si>
    <t xml:space="preserve">
Counts of Care Contacts within the current period by ConsMechanism and for people age between 19 and 64
</t>
  </si>
  <si>
    <t xml:space="preserve">
Counts of Care Contacts within the current period by ConsMechanism and for people age over 64
</t>
  </si>
  <si>
    <t xml:space="preserve">refer to AttendCode_Group/ Dimension then
Count(distinct case when .AgeYr_Referral_ReceivedDate between 0 and 18 then Referrals else null end )
</t>
  </si>
  <si>
    <t>refer to AttendCode_Group/ Dimension then
Count(distinct case when .AgeYr_Referral_ReceivedDate between 19 and 64 then Referrals else null end )</t>
  </si>
  <si>
    <t xml:space="preserve">refer to AttendCode_Group/ Dimension then
Count(distinct case when .AgeYr_Referral_ReceivedDate &gt;= 65 then Referrals else null end )
</t>
  </si>
  <si>
    <t>refer to ConsultationMedium/ Dimension then
Count(distinct case when .AgeYr_Referral_ReceivedDate between 19 and 64 then Referrals else null end )</t>
  </si>
  <si>
    <t>refer to ConsultationMedium/ Dimension then
Count(distinct case when .AgeYr_Referral_ReceivedDate between 0 and 18 then Referrals else null end )</t>
  </si>
  <si>
    <t>refer to ConsultationMedium/ Dimension then
Count(distinct case when .AgeYr_Referral_ReceivedDate &gt;= 65 then Referrals else null end )</t>
  </si>
  <si>
    <t>Count of care contacts within the current period for people of all ages by attendance status</t>
  </si>
  <si>
    <t>Counts of care Contacts within the current period by ConsMechanism from people age under 19</t>
  </si>
  <si>
    <t>Counts of care Contacts within the current period by ConsMechanism from people age between 19 and 64</t>
  </si>
  <si>
    <t>Counts of care Contacts within the current period by ConsMechanism from people age over 64</t>
  </si>
  <si>
    <t>Count of care contacts within the current period by consultation type from people age between 19 and 64</t>
  </si>
  <si>
    <t>Count of care contacts within the current period by consultation type from people age over 64</t>
  </si>
  <si>
    <t>Count of people with a referral submitted during the current period by 5 year age-band</t>
  </si>
  <si>
    <t>Count of people with a referral submitted within the current period by gender and 5 year age-band</t>
  </si>
  <si>
    <t>Count of people aged under 19 with a referral submitted within the current period and a recorded gender</t>
  </si>
  <si>
    <t>Total number of care contacts within the current period for people of any age</t>
  </si>
  <si>
    <t>Total number of care contacts submitted within the current period for people aged between 19 and 64</t>
  </si>
  <si>
    <t>Count of care contacts within the current period for people with a defined gender by five-year age bands</t>
  </si>
  <si>
    <t>Total number of care contacts within the current period for people aged under 19 with a defined gender</t>
  </si>
  <si>
    <t>Total number of care contacts within the current period for people aged between 19 and 64 with a defined gender</t>
  </si>
  <si>
    <t>Total number of care contacts within the current period for people aged over 64 with a defined gender</t>
  </si>
  <si>
    <t>Total number of care contacts submitted within the current period from people aged under 19</t>
  </si>
  <si>
    <t xml:space="preserve">Count of people aged under 19 who had a care contact during the current period </t>
  </si>
  <si>
    <t>Count of unique care contacts submitted within the current period by service type for people of any age</t>
  </si>
  <si>
    <t>Count of referrals submitted within the current period by source of referral for people of any age</t>
  </si>
  <si>
    <t>Count of referrals submitted within the current period by source of referral for people age under 19</t>
  </si>
  <si>
    <t>Count of referrals submitted within the current period by source of referral for people aged between 19 and 64</t>
  </si>
  <si>
    <t>Count of referrals submitted within the current period by source of referral for people aged over 64</t>
  </si>
  <si>
    <t>A list of measures that are available in in the Monthly CSV file.</t>
  </si>
  <si>
    <t>Update for v1.6
Added notes tab. Added list of monthly core data measures/metrics that include age groups (Table 1). Added new metric codes for monthly publication (Table 1). Updated alnd reviewed all constructions. Updated all tables to make them easier to filter.Relabelled field names tab from Table 1 to Table 1a. Relabelled dimensions tab from Table 4 to Table 1b. Relabelled counts tab tab from Table 3 to Table 1c. Added dimensions SourceOfReferral and ServiceType.</t>
  </si>
  <si>
    <t xml:space="preserve">Description of measure
</t>
  </si>
  <si>
    <t xml:space="preserve">COUNT (distinct cyp202careactivity.Unique_CareActivityID)
where
cyp201carecontact.Unique_MonthID = 'Unique_MonthID' and
cyp201carecontact.Contact_Date between 'ReportingStartDate' and 'ReportingEndDate'
</t>
  </si>
  <si>
    <t xml:space="preserve">COUNT (distinct cyp201carecontact.Unique_CareContactID)
where
cyp201carecontact.Unique_MonthID = 'Unique_MonthID' and
cyp201carecontact.Contact_Date between  'ReportingStartDate' and 'ReportingEndDate'
</t>
  </si>
  <si>
    <t xml:space="preserve">COUNT (distinct cyp201carecontact.Person_ID)
where
cyp201carecontact.Unique_MonthID = 'Unique_MonthID' and
cyp201carecontact.Contact_Date between  'ReportingStartDate' and 'ReportingEndDate'
</t>
  </si>
  <si>
    <t xml:space="preserve">where
cyp201carecontact.Unique_MonthID = 'Unique_MonthID' and
cyp201carecontact.Contact_Date between  'ReportingStartDate' and 'ReportingEndDate' and
cyp001mpi.Gender in ('1','2','9','X')
</t>
  </si>
  <si>
    <t xml:space="preserve">COUNT (distinct cyp101referral.Person_ID)
where
cyp101referral.Unique_MonthID = 'Unique_MonthID' and
cyp101referral.ReferralRequest_ReceivedDate between 'ReportingStartDate' and 'ReportingEndDate'
</t>
  </si>
  <si>
    <t xml:space="preserve">COUNT (distinct cyp000header.OrgID_Provider)
where
cyp000header.Unique_MonthID = 'Unique_MonthID'
</t>
  </si>
  <si>
    <t xml:space="preserve">Referral = concat(cyp101referral.Person_ID,cyp101referral.Unique_ServiceRequestID)
COUNT (distinct Referral)
where
cyp101referral.Unique_MonthID = 'Unique_MonthID' and
cyp101referral.ReferralRequest_ReceivedDate between 'ReportingStartDate' and 'ReportingEndDate'
</t>
  </si>
  <si>
    <t>Counts used (refer to 1c)</t>
  </si>
  <si>
    <t>Count of people age under 19 with a unique care contacts submitted within the current period by service type</t>
  </si>
  <si>
    <t>Count of people age between 19 and 64 with a unique care contacts submitted within the current period by service type</t>
  </si>
  <si>
    <t>Count of people age over 64 with a unique care contacts submitted within the current period by service type</t>
  </si>
  <si>
    <t>ServiceType/
MEASURE
MEASURE_VALUE</t>
  </si>
  <si>
    <t>ServiceType/
MEASURE
MEASURE_VALUE_19_64</t>
  </si>
  <si>
    <t>ServiceType/
MEASURE
MEASURE_VALUE_65_PLUS</t>
  </si>
  <si>
    <t>PrimaryReferralReason/
MEASURE
MEASURE_VALUE</t>
  </si>
  <si>
    <t>PrimaryReferralReason/
MEASURE_VALUE
MEASURE_VALUE_0_18</t>
  </si>
  <si>
    <t>PrimaryReferralReason/
MEASURE_VALUE
MEASURE_VALUE_19_64</t>
  </si>
  <si>
    <t>PrimaryReferralReason/
MEASURE_VALUE
MEASURE_VALUE_65_PLUS</t>
  </si>
  <si>
    <t>SourceOfReferrals/
MEASURE
MEASURE_VALUE</t>
  </si>
  <si>
    <t>SourceOfReferrals/
MEASURE
MEASURE_VALUE_0_18</t>
  </si>
  <si>
    <t>SourceOfReferrals/
MEASURE
MEASURE_VALUE_19_64</t>
  </si>
  <si>
    <t>SourceOfReferrals/
MEASURE
MEASURE_VALUE_65_PLUS</t>
  </si>
  <si>
    <t>AttendCode_Group/
MEASURE
MEASURE_VALUE</t>
  </si>
  <si>
    <t>AttendCode_Group/
MEASURE
MEASURE_VALUE_0_18</t>
  </si>
  <si>
    <t>AttendCode_Group/
MEASURE
MEASURE_VALUE_19_64</t>
  </si>
  <si>
    <t>AttendCode_Group/
MEASURE
MEASURE_VALUE_65_PLUS</t>
  </si>
  <si>
    <t>ConsultationMedium/
MEASURE
MEASURE_VALUE</t>
  </si>
  <si>
    <t>ConsultationMedium/
MEASURE
MEASURE_VALUE_0_18</t>
  </si>
  <si>
    <t>ConsultationMedium/
MEASURE
MEASURE_VALUE_19_64</t>
  </si>
  <si>
    <t>ConsultationMedium/
MEASURE
MEASURE_VALUE_65_PLUS</t>
  </si>
  <si>
    <t>Gender/
MEASURE (PatientWithCareContact)
MEASURE_VALUE</t>
  </si>
  <si>
    <t>Gender/
MEASURE_VALUE
MEASURE_VALUE_0_18</t>
  </si>
  <si>
    <t>Gender
MEASURE_VALUE
MEASURE_VALUE_19_64</t>
  </si>
  <si>
    <t>Gender/
MEASURE_VALUE
MEASURE_VALUE_65_PLUS</t>
  </si>
  <si>
    <t>ServiceType/
MEASURE
MEASURE_VALUE_0_18</t>
  </si>
  <si>
    <t xml:space="preserve">ConsultType/
MEASURE
MEASURE_VALUE
</t>
  </si>
  <si>
    <t>ConsultType_AttendCode_Group/
MEASURE
MEASURE_VALUE</t>
  </si>
  <si>
    <t>AgeYr_Referral_ReceivedDate/
MEASURE
MEASURE_VALUE</t>
  </si>
  <si>
    <t xml:space="preserve">AgeYr_Referral_ReceivedDate/
MEASURE
MEASURE_VALUE_65_PLUS
</t>
  </si>
  <si>
    <t xml:space="preserve">AgeYr_Referral_ReceivedDate/
MEASURE
MEASURE_VALUE_19_64
</t>
  </si>
  <si>
    <t xml:space="preserve">AgeYr_Referral_ReceivedDate/
MEASURE
MEASURE_VALUE_0_18
</t>
  </si>
  <si>
    <t>Count of care contacts within the current period by consultation type from people age under 19</t>
  </si>
  <si>
    <t>Counts by cyp101referral.Person_ID, Grouped by valid Gender (PERSON STATED GENDER CODE)</t>
  </si>
  <si>
    <t>Count of people aged under 19 with a valid gender code and with a referral submitted during the current period</t>
  </si>
  <si>
    <t xml:space="preserve">Count of people aged between 19 and 64 with a valid gender code and with a referral submitted during the current period </t>
  </si>
  <si>
    <t>Count of people aged over 64 with a valid gender code and with a referral submitted during the current period</t>
  </si>
  <si>
    <t xml:space="preserve">
Count of people with a valid gender code and with a referral submitted during the current period
</t>
  </si>
  <si>
    <t>Total number of people of any age with a valid gender code, with a referral submitted during the current period</t>
  </si>
  <si>
    <t>Total number of people with a valid gender code submitted within the current period from people with a defined gender aged under 19</t>
  </si>
  <si>
    <t xml:space="preserve">Total number of people with a valid gender code submitted within the current period with a defined gender from people aged over 64 </t>
  </si>
  <si>
    <t>Total number of people of any age with valid gender code, who had a care contact during the current period</t>
  </si>
  <si>
    <t>Total number of care contacts submitted within the current period for people aged under 19 with valid gender code</t>
  </si>
  <si>
    <t>Total number of care contacts submitted within the current period for people aged between 19 and 64 with valid gender code</t>
  </si>
  <si>
    <t>Total number of care contacts submitted within the current period for people aged over 64 with a valid gender code</t>
  </si>
  <si>
    <t>Organisations (Provider_Code)</t>
  </si>
  <si>
    <t>Author: Population Health, Clinical Audit and Specialist Care Team, NHS England</t>
  </si>
  <si>
    <t>Lead Analyst: Giles Foster</t>
  </si>
  <si>
    <r>
      <rPr>
        <sz val="11"/>
        <color theme="1"/>
        <rFont val="Arial"/>
        <family val="2"/>
      </rPr>
      <t xml:space="preserve">                            </t>
    </r>
    <r>
      <rPr>
        <u/>
        <sz val="11"/>
        <color theme="1"/>
        <rFont val="Arial"/>
        <family val="2"/>
      </rPr>
      <t>Email: enquiries@nhsdigital.nhs.uk</t>
    </r>
  </si>
  <si>
    <t xml:space="preserve">Published by NHS England part of the Government Statistical Service </t>
  </si>
  <si>
    <t>Definitions of Dimensions used in this publication.</t>
  </si>
  <si>
    <t>A definition of each different type of count used in this publication.</t>
  </si>
  <si>
    <t>Monthly Core Data Measures</t>
  </si>
  <si>
    <t>Referral = concat(cyp101referral.Person_ID,cyp101referral.Unique_ServiceRequestID)
COUNT (distinct Referral) 
where 
cyp101referral.Unique_MonthID = 'Unique_MonthID' and 
cyp101referral.ReferralRequest_ReceivedDate between 'ReportingStartDate' and 'ReportingEndDate'
when cyp101referral.PrimaryReferralReason in ('001','002','003','004','005','006','007','008','009','010','011','012','013','014','015','017','018','019','020','021','022','023','024','025','026','027','028','029','030','031','032','033','034','035','036','037','038','039','040','041','042','043','044','045','046','047','048','049','050','051','052','053','054','055','056','057','058','059','060','061','062','063','064','065','066','067','068','069','070','071','072','073','074','075','076','077','078','079','080','081','082','083','084','085','086','087','088','999') 
then group by  cyp101referral.PrimaryReferralReason 
else group into catch all 'MV/OP' category</t>
  </si>
  <si>
    <t>Referral = concat(cyp101referral.Person_ID,cyp101referral.Unique_ServiceRequestID)
COUNT (distinct Referral) 
cyp101referral.Unique_MonthID = 'Unique_MonthID' and 
cyp101referral.ReferralRequest_ReceivedDate between 'ReportingStartDate' and 'ReportingEndDate'
when cyp101referral. SourceOfReferral in ('01','02','03','04','05','06','07','08','09','10','11','12','13','14','15','16','17','18','19','20','21','22','23','24',99')
then group by  cyp101referral. SourceOfReferral
else group into catch all 'MV/OP' category</t>
  </si>
  <si>
    <t>Copyright © 2023 NHS England</t>
  </si>
  <si>
    <t>Definitions of Dimensions used in this publication (was Table 3).
Where a dimension is made up of more than one measure, it is considered to be missing or outside reporting parameters if any of the measures contained within the dimension are missing or outside reporting parameters. (E.g. In the Age_CareContactDate-Gender dimension, if either Age_CareContactDate or Gender (or both) have been submitted missing or outside reporting parameters, these have been grouped into the missing or outside reporting parameters total.)</t>
  </si>
  <si>
    <t>Counts: A definition of each different type of count used in this publication (was Table 4).
Where a data item is submitted twice with different values in a single period it may be counted twice in breakdowns that involve the data item (e.g. if Gender is submitted once as a Male and once as Unknown). In these cases, the sum of the values of these breakdowns may be higher than the comparative 'Total' data item.</t>
  </si>
  <si>
    <r>
      <t xml:space="preserve">&lt;COUNT as detailed for Construction for 'Patient with Care Contact' OR 'Patient with Referral' in </t>
    </r>
    <r>
      <rPr>
        <b/>
        <sz val="11"/>
        <color rgb="FFFF0000"/>
        <rFont val="Source Code Pro"/>
        <family val="3"/>
      </rPr>
      <t>Table1c&gt;</t>
    </r>
    <r>
      <rPr>
        <sz val="11"/>
        <color theme="1"/>
        <rFont val="Source Code Pro"/>
        <family val="3"/>
      </rPr>
      <t xml:space="preserve">
  when cyp001mpi.Gender in ('1','2','9','X') 
then group by cyp001mpi.Gender 
  else group into catch all 'MV/OP' category 
</t>
    </r>
  </si>
  <si>
    <t>(for internal use)</t>
  </si>
  <si>
    <t>CC04A</t>
  </si>
  <si>
    <t>CC04Aa</t>
  </si>
  <si>
    <t>CC04Ab</t>
  </si>
  <si>
    <t>CC04Ac</t>
  </si>
  <si>
    <t>CC05M</t>
  </si>
  <si>
    <t>CC05Ma</t>
  </si>
  <si>
    <t>CC05Mb</t>
  </si>
  <si>
    <t>CC05Mc</t>
  </si>
  <si>
    <r>
      <t xml:space="preserve">cyp001mpi
</t>
    </r>
    <r>
      <rPr>
        <sz val="11"/>
        <rFont val="Arial"/>
        <family val="2"/>
      </rPr>
      <t>cyp101referrals
cyp201carecontacts</t>
    </r>
  </si>
  <si>
    <t>refer to TotalPatientWithCareContact/ dimension then
Count(distinct case when .AgeYr_Referral_ReceivedDate between 0 and 18 then Referrals else null end )</t>
  </si>
  <si>
    <t>refer to TotalPatientWithCareContact/ dimension then
Count(distinct case when .AgeYr_Referral_ReceivedDate &gt;= 65 then Referrals else null end )</t>
  </si>
  <si>
    <t>cyp001mpi,
cyp201carecontact</t>
  </si>
  <si>
    <t>Monthly Health Visiting Data Measures Metadata</t>
  </si>
  <si>
    <t xml:space="preserve">Referral = concat(cyp101referral.Person_ID,cyp101referral.Unique_ServiceRequestID)
COUNT (distinct Referral) 
where 
cyp101referral.Unique_MonthID = 'Unique_MonthID' and 
cyp101referral.ReferralRequest_ReceivedDate between 'ReportingStartDate' and 'ReportingEndDate'
</t>
  </si>
  <si>
    <t>3.1</t>
  </si>
  <si>
    <t>Construction of Total Referrals updated to remove filters by age and gender</t>
  </si>
  <si>
    <t>Removed age and gender filters for this measure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</si>
</sst>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
    <numFmt numFmtId="165" formatCode="#,##0\ \ \ \ ;[Red]\-#,##0\ \ \ \ ;0\ \ \ \ "/>
  </numFmts>
  <fonts count="76" x14ac:knownFonts="1">
    <font>
      <sz val="11"/>
      <color theme="1"/>
      <name val="Calibri"/>
      <family val="2"/>
      <scheme val="minor"/>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theme="10"/>
      <name val="Arial"/>
      <family val="2"/>
    </font>
    <font>
      <u/>
      <sz val="11"/>
      <color theme="10"/>
      <name val="Calibri"/>
      <family val="2"/>
      <scheme val="minor"/>
    </font>
    <font>
      <sz val="11"/>
      <color indexed="62"/>
      <name val="Calibri"/>
      <family val="2"/>
    </font>
    <font>
      <sz val="11"/>
      <color indexed="52"/>
      <name val="Calibri"/>
      <family val="2"/>
    </font>
    <font>
      <sz val="11"/>
      <color indexed="60"/>
      <name val="Calibri"/>
      <family val="2"/>
    </font>
    <font>
      <sz val="10"/>
      <color theme="1"/>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color theme="1"/>
      <name val="Calibri"/>
      <family val="2"/>
      <scheme val="minor"/>
    </font>
    <font>
      <sz val="8"/>
      <name val="Arial"/>
      <family val="2"/>
    </font>
    <font>
      <u/>
      <sz val="10"/>
      <color indexed="12"/>
      <name val="Arial"/>
      <family val="2"/>
    </font>
    <font>
      <b/>
      <sz val="11"/>
      <color theme="1"/>
      <name val="Arial"/>
      <family val="2"/>
    </font>
    <font>
      <sz val="11"/>
      <color indexed="8"/>
      <name val="Calibri"/>
      <family val="2"/>
      <scheme val="minor"/>
    </font>
    <font>
      <u/>
      <sz val="12"/>
      <color rgb="FF004488"/>
      <name val="Arial"/>
      <family val="2"/>
    </font>
    <font>
      <sz val="12"/>
      <color indexed="8"/>
      <name val="Arial"/>
      <family val="2"/>
    </font>
    <font>
      <sz val="11"/>
      <color theme="1"/>
      <name val="Calibri"/>
      <family val="2"/>
    </font>
    <font>
      <b/>
      <sz val="11"/>
      <name val="Arial"/>
      <family val="2"/>
    </font>
    <font>
      <u/>
      <sz val="11"/>
      <color theme="1"/>
      <name val="Arial"/>
      <family val="2"/>
    </font>
    <font>
      <b/>
      <sz val="11"/>
      <color indexed="18"/>
      <name val="Arial"/>
      <family val="2"/>
    </font>
    <font>
      <sz val="11"/>
      <name val="Arial"/>
      <family val="2"/>
    </font>
    <font>
      <b/>
      <sz val="26"/>
      <color rgb="FF005EB8"/>
      <name val="Arial"/>
      <family val="2"/>
    </font>
    <font>
      <b/>
      <sz val="27"/>
      <color rgb="FF005EB8"/>
      <name val="Arial"/>
      <family val="2"/>
    </font>
    <font>
      <b/>
      <sz val="20"/>
      <color rgb="FF84919C"/>
      <name val="Arial"/>
      <family val="2"/>
    </font>
    <font>
      <sz val="11"/>
      <color rgb="FF000000"/>
      <name val="Arial"/>
      <family val="2"/>
    </font>
    <font>
      <u/>
      <sz val="11"/>
      <color rgb="FF1F497D"/>
      <name val="Arial"/>
      <family val="2"/>
    </font>
    <font>
      <u/>
      <sz val="11"/>
      <color theme="10"/>
      <name val="Arial"/>
      <family val="2"/>
    </font>
    <font>
      <sz val="11"/>
      <color rgb="FF7030A0"/>
      <name val="Arial"/>
      <family val="2"/>
    </font>
    <font>
      <b/>
      <sz val="11"/>
      <color rgb="FF404040"/>
      <name val="Arial"/>
      <family val="2"/>
    </font>
    <font>
      <sz val="11"/>
      <color rgb="FF404040"/>
      <name val="Arial"/>
      <family val="2"/>
    </font>
    <font>
      <b/>
      <u/>
      <sz val="11"/>
      <color theme="1"/>
      <name val="Arial"/>
      <family val="2"/>
    </font>
    <font>
      <sz val="10"/>
      <color rgb="FF404040"/>
      <name val="Arial"/>
      <family val="2"/>
    </font>
    <font>
      <sz val="8"/>
      <color rgb="FF404040"/>
      <name val="Arial"/>
      <family val="2"/>
    </font>
    <font>
      <sz val="12"/>
      <color rgb="FFFF0000"/>
      <name val="Arial"/>
      <family val="2"/>
    </font>
    <font>
      <b/>
      <sz val="11"/>
      <color rgb="FF000000"/>
      <name val="Arial"/>
      <family val="2"/>
    </font>
    <font>
      <sz val="12"/>
      <color rgb="FF000000"/>
      <name val="Arial"/>
      <family val="2"/>
    </font>
    <font>
      <strike/>
      <sz val="11"/>
      <color rgb="FF000000"/>
      <name val="Arial"/>
      <family val="2"/>
    </font>
    <font>
      <sz val="11"/>
      <color rgb="FF4472C4"/>
      <name val="Arial"/>
      <family val="2"/>
    </font>
    <font>
      <sz val="12"/>
      <color rgb="FF4472C4"/>
      <name val="Arial"/>
      <family val="2"/>
    </font>
    <font>
      <b/>
      <sz val="12"/>
      <color rgb="FFFF0000"/>
      <name val="Arial"/>
      <family val="2"/>
    </font>
    <font>
      <b/>
      <sz val="12"/>
      <color rgb="FF000000"/>
      <name val="Arial"/>
      <family val="2"/>
    </font>
    <font>
      <sz val="6"/>
      <color rgb="FF000000"/>
      <name val="Source Code Pro"/>
      <family val="3"/>
    </font>
    <font>
      <sz val="11"/>
      <color rgb="FFFF0000"/>
      <name val="Arial"/>
      <family val="2"/>
    </font>
    <font>
      <i/>
      <sz val="11"/>
      <color rgb="FFFF0000"/>
      <name val="Arial"/>
      <family val="2"/>
    </font>
    <font>
      <i/>
      <sz val="11"/>
      <color theme="1"/>
      <name val="Arial"/>
      <family val="2"/>
    </font>
    <font>
      <i/>
      <sz val="11"/>
      <name val="Arial"/>
      <family val="2"/>
    </font>
    <font>
      <sz val="8"/>
      <name val="Calibri"/>
      <family val="2"/>
      <scheme val="minor"/>
    </font>
    <font>
      <b/>
      <sz val="11"/>
      <color rgb="FFFF0000"/>
      <name val="Arial"/>
      <family val="2"/>
    </font>
    <font>
      <b/>
      <i/>
      <sz val="11"/>
      <color theme="1"/>
      <name val="Arial"/>
      <family val="2"/>
    </font>
    <font>
      <b/>
      <i/>
      <sz val="11"/>
      <name val="Arial"/>
      <family val="2"/>
    </font>
    <font>
      <sz val="11"/>
      <name val="Calibri"/>
      <family val="2"/>
      <scheme val="minor"/>
    </font>
    <font>
      <sz val="12"/>
      <name val="Arial"/>
      <family val="2"/>
    </font>
    <font>
      <b/>
      <sz val="12"/>
      <color theme="1"/>
      <name val="Arial"/>
      <family val="2"/>
    </font>
    <font>
      <sz val="11"/>
      <color theme="1"/>
      <name val="Source Code Pro"/>
      <family val="3"/>
    </font>
    <font>
      <sz val="11"/>
      <name val="Source Code Pro"/>
      <family val="3"/>
    </font>
    <font>
      <i/>
      <sz val="11"/>
      <color theme="1"/>
      <name val="Source Code Pro"/>
      <family val="3"/>
    </font>
    <font>
      <b/>
      <sz val="11"/>
      <color rgb="FFFF0000"/>
      <name val="Source Code Pro"/>
      <family val="3"/>
    </font>
    <font>
      <sz val="11"/>
      <color rgb="FF000000"/>
      <name val="Source Code Pro"/>
      <family val="3"/>
    </font>
  </fonts>
  <fills count="3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lightUp">
        <bgColor indexed="43"/>
      </patternFill>
    </fill>
    <fill>
      <patternFill patternType="solid">
        <fgColor theme="0" tint="-4.9989318521683403E-2"/>
        <bgColor indexed="64"/>
      </patternFill>
    </fill>
    <fill>
      <patternFill patternType="solid">
        <fgColor rgb="FFF2F2F2"/>
        <bgColor rgb="FF000000"/>
      </patternFill>
    </fill>
    <fill>
      <patternFill patternType="solid">
        <fgColor rgb="FFD0CECE"/>
        <bgColor rgb="FF000000"/>
      </patternFill>
    </fill>
    <fill>
      <patternFill patternType="solid">
        <fgColor rgb="FFED7D31"/>
        <bgColor rgb="FF000000"/>
      </patternFill>
    </fill>
    <fill>
      <patternFill patternType="solid">
        <fgColor rgb="FF5B9BD5"/>
        <bgColor rgb="FF000000"/>
      </patternFill>
    </fill>
    <fill>
      <patternFill patternType="solid">
        <fgColor rgb="FFE2EFDA"/>
        <bgColor rgb="FF000000"/>
      </patternFill>
    </fill>
    <fill>
      <patternFill patternType="solid">
        <fgColor rgb="FF70AD47"/>
        <bgColor rgb="FF000000"/>
      </patternFill>
    </fill>
    <fill>
      <patternFill patternType="solid">
        <fgColor rgb="FF4472C4"/>
        <bgColor rgb="FF000000"/>
      </patternFill>
    </fill>
    <fill>
      <patternFill patternType="solid">
        <fgColor rgb="FFFFF2CC"/>
        <bgColor rgb="FF000000"/>
      </patternFill>
    </fill>
    <fill>
      <patternFill patternType="solid">
        <fgColor theme="0"/>
        <bgColor indexed="64"/>
      </patternFill>
    </fill>
    <fill>
      <patternFill patternType="solid">
        <fgColor theme="2"/>
        <bgColor indexed="64"/>
      </patternFill>
    </fill>
    <fill>
      <patternFill patternType="solid">
        <fgColor theme="2"/>
        <bgColor rgb="FF000000"/>
      </patternFill>
    </fill>
  </fills>
  <borders count="3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
      <left/>
      <right/>
      <top style="medium">
        <color auto="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CED1D5"/>
      </left>
      <right style="thin">
        <color rgb="FFCED1D5"/>
      </right>
      <top style="thin">
        <color rgb="FFCED1D5"/>
      </top>
      <bottom style="thin">
        <color rgb="FFCED1D5"/>
      </bottom>
      <diagonal/>
    </border>
    <border>
      <left style="thin">
        <color theme="6" tint="0.39997558519241921"/>
      </left>
      <right/>
      <top style="thin">
        <color theme="6" tint="0.39997558519241921"/>
      </top>
      <bottom style="thin">
        <color theme="6" tint="0.39997558519241921"/>
      </bottom>
      <diagonal/>
    </border>
    <border>
      <left style="thin">
        <color rgb="FFCED1D5"/>
      </left>
      <right style="thin">
        <color rgb="FFCED1D5"/>
      </right>
      <top style="thin">
        <color rgb="FFCED1D5"/>
      </top>
      <bottom/>
      <diagonal/>
    </border>
    <border>
      <left style="thin">
        <color rgb="FFCED1D5"/>
      </left>
      <right style="thin">
        <color rgb="FFCED1D5"/>
      </right>
      <top/>
      <bottom style="thin">
        <color rgb="FFCED1D5"/>
      </bottom>
      <diagonal/>
    </border>
    <border>
      <left style="thin">
        <color rgb="FFCED1D5"/>
      </left>
      <right/>
      <top style="thin">
        <color rgb="FFCED1D5"/>
      </top>
      <bottom style="thin">
        <color rgb="FFCED1D5"/>
      </bottom>
      <diagonal/>
    </border>
    <border>
      <left/>
      <right/>
      <top style="thin">
        <color rgb="FFCED1D5"/>
      </top>
      <bottom style="thin">
        <color rgb="FFCED1D5"/>
      </bottom>
      <diagonal/>
    </border>
    <border>
      <left/>
      <right style="thin">
        <color rgb="FFCED1D5"/>
      </right>
      <top style="thin">
        <color rgb="FFCED1D5"/>
      </top>
      <bottom style="thin">
        <color rgb="FFCED1D5"/>
      </bottom>
      <diagonal/>
    </border>
    <border>
      <left style="thin">
        <color rgb="FFCED1D5"/>
      </left>
      <right/>
      <top style="thin">
        <color rgb="FFCED1D5"/>
      </top>
      <bottom/>
      <diagonal/>
    </border>
    <border>
      <left/>
      <right style="thin">
        <color rgb="FFCED1D5"/>
      </right>
      <top style="thin">
        <color rgb="FFCED1D5"/>
      </top>
      <bottom/>
      <diagonal/>
    </border>
    <border>
      <left style="thin">
        <color rgb="FFCED1D5"/>
      </left>
      <right/>
      <top/>
      <bottom style="thin">
        <color rgb="FFCED1D5"/>
      </bottom>
      <diagonal/>
    </border>
    <border>
      <left/>
      <right style="thin">
        <color rgb="FFCED1D5"/>
      </right>
      <top/>
      <bottom style="thin">
        <color rgb="FFCED1D5"/>
      </bottom>
      <diagonal/>
    </border>
    <border>
      <left/>
      <right/>
      <top/>
      <bottom style="thin">
        <color rgb="FFCED1D5"/>
      </bottom>
      <diagonal/>
    </border>
  </borders>
  <cellStyleXfs count="213">
    <xf numFmtId="0" fontId="0" fillId="0" borderId="0"/>
    <xf numFmtId="0" fontId="6" fillId="0" borderId="0"/>
    <xf numFmtId="0" fontId="7" fillId="2" borderId="0" applyNumberFormat="0" applyBorder="0" applyAlignment="0" applyProtection="0"/>
    <xf numFmtId="0" fontId="7" fillId="2" borderId="0" applyNumberFormat="0" applyBorder="0" applyAlignment="0" applyProtection="0"/>
    <xf numFmtId="0" fontId="7" fillId="2" borderId="0" applyNumberFormat="0" applyBorder="0" applyAlignment="0" applyProtection="0"/>
    <xf numFmtId="0" fontId="7" fillId="2"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10" fillId="20" borderId="1" applyNumberFormat="0" applyAlignment="0" applyProtection="0"/>
    <xf numFmtId="0" fontId="10" fillId="20" borderId="1" applyNumberFormat="0" applyAlignment="0" applyProtection="0"/>
    <xf numFmtId="0" fontId="10" fillId="20" borderId="1" applyNumberFormat="0" applyAlignment="0" applyProtection="0"/>
    <xf numFmtId="0" fontId="10" fillId="20" borderId="1" applyNumberFormat="0" applyAlignment="0" applyProtection="0"/>
    <xf numFmtId="0" fontId="11" fillId="21" borderId="2" applyNumberFormat="0" applyAlignment="0" applyProtection="0"/>
    <xf numFmtId="0" fontId="11" fillId="21" borderId="2" applyNumberFormat="0" applyAlignment="0" applyProtection="0"/>
    <xf numFmtId="0" fontId="11" fillId="21" borderId="2" applyNumberFormat="0" applyAlignment="0" applyProtection="0"/>
    <xf numFmtId="0" fontId="11" fillId="21" borderId="2" applyNumberFormat="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7" borderId="1" applyNumberFormat="0" applyAlignment="0" applyProtection="0"/>
    <xf numFmtId="0" fontId="19" fillId="7" borderId="1" applyNumberFormat="0" applyAlignment="0" applyProtection="0"/>
    <xf numFmtId="0" fontId="19" fillId="7" borderId="1" applyNumberFormat="0" applyAlignment="0" applyProtection="0"/>
    <xf numFmtId="0" fontId="19" fillId="7" borderId="1" applyNumberFormat="0" applyAlignment="0" applyProtection="0"/>
    <xf numFmtId="0" fontId="20" fillId="0" borderId="6"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6" fillId="0" borderId="0"/>
    <xf numFmtId="0" fontId="6" fillId="0" borderId="0">
      <alignment wrapText="1"/>
    </xf>
    <xf numFmtId="0" fontId="22" fillId="0" borderId="0"/>
    <xf numFmtId="0" fontId="6" fillId="0" borderId="0"/>
    <xf numFmtId="0" fontId="6" fillId="0" borderId="0"/>
    <xf numFmtId="0" fontId="6" fillId="23" borderId="7" applyNumberFormat="0" applyFont="0" applyAlignment="0" applyProtection="0"/>
    <xf numFmtId="0" fontId="6" fillId="23" borderId="7" applyNumberFormat="0" applyFont="0" applyAlignment="0" applyProtection="0"/>
    <xf numFmtId="0" fontId="6" fillId="23" borderId="7" applyNumberFormat="0" applyFont="0" applyAlignment="0" applyProtection="0"/>
    <xf numFmtId="0" fontId="6" fillId="23" borderId="7" applyNumberFormat="0" applyFont="0" applyAlignment="0" applyProtection="0"/>
    <xf numFmtId="0" fontId="6" fillId="23" borderId="7" applyNumberFormat="0" applyFont="0" applyAlignment="0" applyProtection="0"/>
    <xf numFmtId="0" fontId="6" fillId="23" borderId="7" applyNumberFormat="0" applyFont="0" applyAlignment="0" applyProtection="0"/>
    <xf numFmtId="0" fontId="6" fillId="23" borderId="7" applyNumberFormat="0" applyFont="0" applyAlignment="0" applyProtection="0"/>
    <xf numFmtId="0" fontId="23" fillId="20" borderId="8" applyNumberFormat="0" applyAlignment="0" applyProtection="0"/>
    <xf numFmtId="0" fontId="23" fillId="20" borderId="8" applyNumberFormat="0" applyAlignment="0" applyProtection="0"/>
    <xf numFmtId="0" fontId="23" fillId="20" borderId="8" applyNumberFormat="0" applyAlignment="0" applyProtection="0"/>
    <xf numFmtId="0" fontId="23" fillId="20" borderId="8" applyNumberForma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7" fillId="0" borderId="0"/>
    <xf numFmtId="43" fontId="6" fillId="0" borderId="0" applyFont="0" applyFill="0" applyBorder="0" applyAlignment="0" applyProtection="0"/>
    <xf numFmtId="164" fontId="28" fillId="24" borderId="0"/>
    <xf numFmtId="0" fontId="29" fillId="0" borderId="0" applyNumberFormat="0" applyFill="0" applyBorder="0" applyAlignment="0" applyProtection="0">
      <alignment vertical="top"/>
      <protection locked="0"/>
    </xf>
    <xf numFmtId="0" fontId="29" fillId="0" borderId="0" applyNumberFormat="0" applyFill="0" applyBorder="0" applyAlignment="0" applyProtection="0">
      <alignment vertical="top"/>
      <protection locked="0"/>
    </xf>
    <xf numFmtId="0" fontId="29" fillId="0" borderId="0" applyNumberFormat="0" applyFill="0" applyBorder="0" applyAlignment="0" applyProtection="0">
      <alignment vertical="top"/>
      <protection locked="0"/>
    </xf>
    <xf numFmtId="0" fontId="29" fillId="0" borderId="0" applyNumberFormat="0" applyFill="0" applyBorder="0" applyAlignment="0" applyProtection="0">
      <alignment vertical="top"/>
      <protection locked="0"/>
    </xf>
    <xf numFmtId="0" fontId="27" fillId="0" borderId="0"/>
    <xf numFmtId="0" fontId="27" fillId="0" borderId="0"/>
    <xf numFmtId="0" fontId="6" fillId="0" borderId="0"/>
    <xf numFmtId="0" fontId="6" fillId="0" borderId="0"/>
    <xf numFmtId="0" fontId="6" fillId="0" borderId="0"/>
    <xf numFmtId="0" fontId="6" fillId="0" borderId="0"/>
    <xf numFmtId="0" fontId="7" fillId="23" borderId="7" applyNumberFormat="0" applyFont="0" applyAlignment="0" applyProtection="0"/>
    <xf numFmtId="9" fontId="6" fillId="0" borderId="0" applyFont="0" applyFill="0" applyBorder="0" applyAlignment="0" applyProtection="0"/>
    <xf numFmtId="0" fontId="5" fillId="0" borderId="0"/>
    <xf numFmtId="43" fontId="6" fillId="0" borderId="0" applyFont="0" applyFill="0" applyBorder="0" applyAlignment="0" applyProtection="0"/>
    <xf numFmtId="0" fontId="32" fillId="0" borderId="0" applyNumberFormat="0" applyFill="0" applyBorder="0" applyAlignment="0" applyProtection="0"/>
    <xf numFmtId="0" fontId="27" fillId="0" borderId="0"/>
    <xf numFmtId="0" fontId="4" fillId="0" borderId="0"/>
    <xf numFmtId="0" fontId="33" fillId="23" borderId="7" applyNumberFormat="0" applyFont="0" applyAlignment="0" applyProtection="0"/>
    <xf numFmtId="9" fontId="4" fillId="0" borderId="0" applyFont="0" applyFill="0" applyBorder="0" applyAlignment="0" applyProtection="0"/>
    <xf numFmtId="9" fontId="27" fillId="0" borderId="0" applyFont="0" applyFill="0" applyBorder="0" applyAlignment="0" applyProtection="0"/>
    <xf numFmtId="9" fontId="4" fillId="0" borderId="0" applyFont="0" applyFill="0" applyBorder="0" applyAlignment="0" applyProtection="0"/>
    <xf numFmtId="9" fontId="6" fillId="0" borderId="0" applyFont="0" applyFill="0" applyBorder="0" applyAlignment="0" applyProtection="0"/>
    <xf numFmtId="9" fontId="34" fillId="0" borderId="0" applyFont="0" applyFill="0" applyBorder="0" applyAlignment="0" applyProtection="0"/>
    <xf numFmtId="0" fontId="44" fillId="0" borderId="0" applyNumberFormat="0" applyFill="0" applyBorder="0" applyAlignment="0" applyProtection="0"/>
    <xf numFmtId="43" fontId="6" fillId="0" borderId="0" applyFont="0" applyFill="0" applyBorder="0" applyAlignment="0" applyProtection="0"/>
    <xf numFmtId="0" fontId="2" fillId="0" borderId="0"/>
    <xf numFmtId="43" fontId="6" fillId="0" borderId="0" applyFont="0" applyFill="0" applyBorder="0" applyAlignment="0" applyProtection="0"/>
    <xf numFmtId="0" fontId="2" fillId="0" borderId="0"/>
    <xf numFmtId="9" fontId="2" fillId="0" borderId="0" applyFont="0" applyFill="0" applyBorder="0" applyAlignment="0" applyProtection="0"/>
    <xf numFmtId="9" fontId="2" fillId="0" borderId="0" applyFont="0" applyFill="0" applyBorder="0" applyAlignment="0" applyProtection="0"/>
    <xf numFmtId="0" fontId="27" fillId="0" borderId="0"/>
  </cellStyleXfs>
  <cellXfs count="377">
    <xf numFmtId="0" fontId="0" fillId="0" borderId="0" xfId="0"/>
    <xf numFmtId="0" fontId="3" fillId="0" borderId="0" xfId="0" applyFont="1" applyAlignment="1">
      <alignment horizontal="left" vertical="top" wrapText="1" readingOrder="1"/>
    </xf>
    <xf numFmtId="0" fontId="30" fillId="0" borderId="10" xfId="0" applyFont="1" applyBorder="1" applyAlignment="1">
      <alignment horizontal="left" vertical="top" wrapText="1" readingOrder="1"/>
    </xf>
    <xf numFmtId="0" fontId="5" fillId="0" borderId="0" xfId="194" applyAlignment="1">
      <alignment horizontal="left" vertical="top"/>
    </xf>
    <xf numFmtId="0" fontId="39" fillId="0" borderId="0" xfId="0" applyFont="1" applyAlignment="1">
      <alignment vertical="top" readingOrder="1"/>
    </xf>
    <xf numFmtId="0" fontId="2" fillId="25" borderId="0" xfId="0" applyFont="1" applyFill="1" applyAlignment="1">
      <alignment horizontal="left" vertical="top" wrapText="1" readingOrder="1"/>
    </xf>
    <xf numFmtId="0" fontId="2" fillId="0" borderId="0" xfId="0" applyFont="1" applyAlignment="1">
      <alignment horizontal="left" vertical="top" wrapText="1" readingOrder="1"/>
    </xf>
    <xf numFmtId="0" fontId="37" fillId="0" borderId="0" xfId="0" applyFont="1" applyAlignment="1">
      <alignment horizontal="left" vertical="top" wrapText="1" readingOrder="1"/>
    </xf>
    <xf numFmtId="0" fontId="2" fillId="0" borderId="0" xfId="0" applyFont="1"/>
    <xf numFmtId="0" fontId="2" fillId="25" borderId="10" xfId="0" applyFont="1" applyFill="1" applyBorder="1" applyAlignment="1">
      <alignment horizontal="left" vertical="top" wrapText="1" readingOrder="1"/>
    </xf>
    <xf numFmtId="0" fontId="2" fillId="0" borderId="0" xfId="0" applyFont="1" applyAlignment="1">
      <alignment vertical="top" wrapText="1"/>
    </xf>
    <xf numFmtId="49" fontId="2" fillId="0" borderId="0" xfId="0" applyNumberFormat="1" applyFont="1"/>
    <xf numFmtId="0" fontId="2" fillId="0" borderId="10" xfId="0" applyFont="1" applyBorder="1" applyAlignment="1">
      <alignment horizontal="left" vertical="top" wrapText="1" readingOrder="1"/>
    </xf>
    <xf numFmtId="0" fontId="2" fillId="0" borderId="0" xfId="0" applyFont="1" applyAlignment="1">
      <alignment horizontal="left" vertical="top" wrapText="1"/>
    </xf>
    <xf numFmtId="0" fontId="43" fillId="0" borderId="0" xfId="0" applyFont="1" applyAlignment="1">
      <alignment horizontal="left" vertical="top" wrapText="1" readingOrder="1"/>
    </xf>
    <xf numFmtId="0" fontId="2" fillId="0" borderId="0" xfId="0" applyFont="1" applyAlignment="1">
      <alignment vertical="center"/>
    </xf>
    <xf numFmtId="0" fontId="42" fillId="0" borderId="0" xfId="0" applyFont="1" applyAlignment="1">
      <alignment horizontal="left" vertical="top" wrapText="1" readingOrder="1"/>
    </xf>
    <xf numFmtId="0" fontId="0" fillId="0" borderId="0" xfId="0" applyAlignment="1">
      <alignment horizontal="left" vertical="top" wrapText="1"/>
    </xf>
    <xf numFmtId="0" fontId="2" fillId="0" borderId="0" xfId="0" applyFont="1" applyAlignment="1">
      <alignment horizontal="left" wrapText="1" readingOrder="1"/>
    </xf>
    <xf numFmtId="0" fontId="30" fillId="0" borderId="0" xfId="0" applyFont="1" applyAlignment="1">
      <alignment horizontal="left" vertical="top" wrapText="1" readingOrder="1"/>
    </xf>
    <xf numFmtId="0" fontId="45" fillId="0" borderId="0" xfId="0" applyFont="1" applyAlignment="1">
      <alignment horizontal="left" vertical="top" wrapText="1" readingOrder="1"/>
    </xf>
    <xf numFmtId="49" fontId="45" fillId="0" borderId="0" xfId="0" applyNumberFormat="1" applyFont="1"/>
    <xf numFmtId="0" fontId="45" fillId="0" borderId="0" xfId="0" applyFont="1"/>
    <xf numFmtId="0" fontId="45" fillId="25" borderId="0" xfId="0" applyFont="1" applyFill="1" applyAlignment="1">
      <alignment horizontal="left" vertical="top" wrapText="1" readingOrder="1"/>
    </xf>
    <xf numFmtId="0" fontId="2" fillId="0" borderId="11" xfId="0" applyFont="1" applyBorder="1" applyAlignment="1">
      <alignment horizontal="left" vertical="top" wrapText="1" readingOrder="1"/>
    </xf>
    <xf numFmtId="0" fontId="39" fillId="0" borderId="0" xfId="0" applyFont="1" applyAlignment="1">
      <alignment vertical="top" wrapText="1" readingOrder="1"/>
    </xf>
    <xf numFmtId="0" fontId="2" fillId="0" borderId="0" xfId="194" applyFont="1" applyAlignment="1">
      <alignment horizontal="left" vertical="top"/>
    </xf>
    <xf numFmtId="0" fontId="30" fillId="0" borderId="0" xfId="194" applyFont="1" applyAlignment="1">
      <alignment horizontal="left" vertical="top"/>
    </xf>
    <xf numFmtId="0" fontId="48" fillId="0" borderId="0" xfId="194" applyFont="1" applyAlignment="1">
      <alignment horizontal="left" vertical="top"/>
    </xf>
    <xf numFmtId="0" fontId="47" fillId="0" borderId="0" xfId="194" applyFont="1" applyAlignment="1">
      <alignment horizontal="left" vertical="top" wrapText="1"/>
    </xf>
    <xf numFmtId="0" fontId="47" fillId="0" borderId="0" xfId="194" applyFont="1" applyAlignment="1">
      <alignment horizontal="left" vertical="top"/>
    </xf>
    <xf numFmtId="14" fontId="47" fillId="0" borderId="12" xfId="0" applyNumberFormat="1" applyFont="1" applyBorder="1" applyAlignment="1">
      <alignment vertical="top"/>
    </xf>
    <xf numFmtId="0" fontId="47" fillId="0" borderId="12" xfId="0" applyFont="1" applyBorder="1" applyAlignment="1">
      <alignment vertical="top"/>
    </xf>
    <xf numFmtId="0" fontId="47" fillId="0" borderId="13" xfId="0" applyFont="1" applyBorder="1" applyAlignment="1">
      <alignment vertical="top"/>
    </xf>
    <xf numFmtId="0" fontId="47" fillId="0" borderId="14" xfId="194" applyFont="1" applyBorder="1" applyAlignment="1">
      <alignment horizontal="left" vertical="top"/>
    </xf>
    <xf numFmtId="0" fontId="47" fillId="0" borderId="15" xfId="194" applyFont="1" applyBorder="1" applyAlignment="1">
      <alignment horizontal="left" vertical="top"/>
    </xf>
    <xf numFmtId="0" fontId="49" fillId="0" borderId="0" xfId="194" applyFont="1" applyAlignment="1">
      <alignment horizontal="left" vertical="top" wrapText="1"/>
    </xf>
    <xf numFmtId="0" fontId="46" fillId="0" borderId="0" xfId="194" applyFont="1" applyAlignment="1">
      <alignment horizontal="left" vertical="top"/>
    </xf>
    <xf numFmtId="0" fontId="47" fillId="0" borderId="0" xfId="194" applyFont="1" applyAlignment="1">
      <alignment horizontal="center" vertical="top" wrapText="1"/>
    </xf>
    <xf numFmtId="0" fontId="50" fillId="0" borderId="13" xfId="0" applyFont="1" applyBorder="1" applyAlignment="1">
      <alignment vertical="top"/>
    </xf>
    <xf numFmtId="0" fontId="47" fillId="0" borderId="12" xfId="0" applyFont="1" applyBorder="1" applyAlignment="1">
      <alignment horizontal="center" vertical="top"/>
    </xf>
    <xf numFmtId="0" fontId="47" fillId="0" borderId="0" xfId="194" applyFont="1" applyAlignment="1">
      <alignment horizontal="center" vertical="top"/>
    </xf>
    <xf numFmtId="0" fontId="5" fillId="0" borderId="0" xfId="194" applyAlignment="1">
      <alignment horizontal="center" vertical="top"/>
    </xf>
    <xf numFmtId="165" fontId="47" fillId="0" borderId="12" xfId="0" applyNumberFormat="1" applyFont="1" applyBorder="1" applyAlignment="1">
      <alignment vertical="top"/>
    </xf>
    <xf numFmtId="165" fontId="47" fillId="0" borderId="0" xfId="194" applyNumberFormat="1" applyFont="1" applyAlignment="1">
      <alignment horizontal="left" vertical="top"/>
    </xf>
    <xf numFmtId="165" fontId="5" fillId="0" borderId="0" xfId="194" applyNumberFormat="1" applyAlignment="1">
      <alignment horizontal="left" vertical="top"/>
    </xf>
    <xf numFmtId="0" fontId="38" fillId="0" borderId="0" xfId="0" applyFont="1" applyAlignment="1">
      <alignment horizontal="left" vertical="top" wrapText="1" readingOrder="1"/>
    </xf>
    <xf numFmtId="0" fontId="52" fillId="0" borderId="0" xfId="0" applyFont="1" applyAlignment="1">
      <alignment horizontal="left" vertical="top" wrapText="1" readingOrder="1"/>
    </xf>
    <xf numFmtId="0" fontId="53" fillId="0" borderId="0" xfId="0" applyFont="1" applyAlignment="1">
      <alignment vertical="top"/>
    </xf>
    <xf numFmtId="0" fontId="42" fillId="0" borderId="10" xfId="0" applyFont="1" applyBorder="1" applyAlignment="1">
      <alignment horizontal="left" vertical="top" wrapText="1" readingOrder="1"/>
    </xf>
    <xf numFmtId="0" fontId="54" fillId="0" borderId="0" xfId="0" applyFont="1" applyAlignment="1">
      <alignment horizontal="left" vertical="top" wrapText="1" readingOrder="1"/>
    </xf>
    <xf numFmtId="0" fontId="55" fillId="0" borderId="0" xfId="0" applyFont="1" applyAlignment="1">
      <alignment horizontal="left" vertical="top" wrapText="1" readingOrder="1"/>
    </xf>
    <xf numFmtId="0" fontId="0" fillId="0" borderId="0" xfId="0" applyAlignment="1">
      <alignment vertical="top" wrapText="1"/>
    </xf>
    <xf numFmtId="0" fontId="53" fillId="0" borderId="0" xfId="0" applyFont="1" applyAlignment="1">
      <alignment vertical="top" wrapText="1"/>
    </xf>
    <xf numFmtId="0" fontId="0" fillId="26" borderId="0" xfId="0" applyFill="1" applyAlignment="1">
      <alignment horizontal="left" vertical="top" wrapText="1" readingOrder="1"/>
    </xf>
    <xf numFmtId="0" fontId="42" fillId="26" borderId="0" xfId="0" applyFont="1" applyFill="1" applyAlignment="1">
      <alignment horizontal="left" vertical="top" wrapText="1" readingOrder="1"/>
    </xf>
    <xf numFmtId="0" fontId="55" fillId="26" borderId="0" xfId="0" applyFont="1" applyFill="1" applyAlignment="1">
      <alignment horizontal="left" vertical="top" wrapText="1" readingOrder="1"/>
    </xf>
    <xf numFmtId="0" fontId="54" fillId="26" borderId="0" xfId="0" applyFont="1" applyFill="1" applyAlignment="1">
      <alignment horizontal="left" vertical="top" wrapText="1" readingOrder="1"/>
    </xf>
    <xf numFmtId="0" fontId="42" fillId="26" borderId="10" xfId="0" applyFont="1" applyFill="1" applyBorder="1" applyAlignment="1">
      <alignment horizontal="left" vertical="top" wrapText="1" readingOrder="1"/>
    </xf>
    <xf numFmtId="0" fontId="53" fillId="27" borderId="16" xfId="0" applyFont="1" applyFill="1" applyBorder="1" applyAlignment="1">
      <alignment horizontal="left" vertical="top" wrapText="1"/>
    </xf>
    <xf numFmtId="0" fontId="53" fillId="27" borderId="18" xfId="0" applyFont="1" applyFill="1" applyBorder="1" applyAlignment="1">
      <alignment horizontal="left" vertical="top" wrapText="1"/>
    </xf>
    <xf numFmtId="0" fontId="53" fillId="27" borderId="17" xfId="0" applyFont="1" applyFill="1" applyBorder="1" applyAlignment="1">
      <alignment horizontal="left" vertical="top" wrapText="1"/>
    </xf>
    <xf numFmtId="0" fontId="53" fillId="28" borderId="16" xfId="0" applyFont="1" applyFill="1" applyBorder="1" applyAlignment="1">
      <alignment horizontal="left" vertical="top" wrapText="1"/>
    </xf>
    <xf numFmtId="0" fontId="53" fillId="28" borderId="18" xfId="0" applyFont="1" applyFill="1" applyBorder="1" applyAlignment="1">
      <alignment horizontal="left" vertical="top" wrapText="1"/>
    </xf>
    <xf numFmtId="0" fontId="53" fillId="28" borderId="17" xfId="0" applyFont="1" applyFill="1" applyBorder="1" applyAlignment="1">
      <alignment horizontal="left" vertical="top" wrapText="1"/>
    </xf>
    <xf numFmtId="0" fontId="53" fillId="29" borderId="16" xfId="0" applyFont="1" applyFill="1" applyBorder="1" applyAlignment="1">
      <alignment horizontal="left" vertical="top" wrapText="1"/>
    </xf>
    <xf numFmtId="0" fontId="53" fillId="29" borderId="18" xfId="0" applyFont="1" applyFill="1" applyBorder="1" applyAlignment="1">
      <alignment horizontal="left" vertical="top" wrapText="1"/>
    </xf>
    <xf numFmtId="0" fontId="53" fillId="29" borderId="17" xfId="0" applyFont="1" applyFill="1" applyBorder="1" applyAlignment="1">
      <alignment horizontal="left" vertical="top" wrapText="1"/>
    </xf>
    <xf numFmtId="0" fontId="53" fillId="0" borderId="16" xfId="0" applyFont="1" applyBorder="1" applyAlignment="1">
      <alignment horizontal="left" vertical="top" wrapText="1"/>
    </xf>
    <xf numFmtId="0" fontId="53" fillId="0" borderId="16" xfId="0" applyFont="1" applyBorder="1" applyAlignment="1">
      <alignment vertical="top" wrapText="1"/>
    </xf>
    <xf numFmtId="0" fontId="53" fillId="0" borderId="18" xfId="0" applyFont="1" applyBorder="1" applyAlignment="1">
      <alignment vertical="top" wrapText="1"/>
    </xf>
    <xf numFmtId="0" fontId="53" fillId="0" borderId="17" xfId="0" applyFont="1" applyBorder="1" applyAlignment="1">
      <alignment vertical="top" wrapText="1"/>
    </xf>
    <xf numFmtId="0" fontId="0" fillId="0" borderId="18" xfId="0" applyBorder="1" applyAlignment="1">
      <alignment vertical="top" wrapText="1"/>
    </xf>
    <xf numFmtId="0" fontId="53" fillId="0" borderId="18" xfId="0" applyFont="1" applyBorder="1" applyAlignment="1">
      <alignment horizontal="left" vertical="top" wrapText="1"/>
    </xf>
    <xf numFmtId="0" fontId="53" fillId="0" borderId="17" xfId="0" applyFont="1" applyBorder="1" applyAlignment="1">
      <alignment horizontal="left" vertical="top" wrapText="1"/>
    </xf>
    <xf numFmtId="0" fontId="0" fillId="0" borderId="18" xfId="0" applyBorder="1" applyAlignment="1">
      <alignment horizontal="left" vertical="top" wrapText="1"/>
    </xf>
    <xf numFmtId="0" fontId="53" fillId="30" borderId="16" xfId="0" applyFont="1" applyFill="1" applyBorder="1" applyAlignment="1">
      <alignment vertical="top" wrapText="1"/>
    </xf>
    <xf numFmtId="0" fontId="53" fillId="30" borderId="18" xfId="0" applyFont="1" applyFill="1" applyBorder="1" applyAlignment="1">
      <alignment vertical="top" wrapText="1"/>
    </xf>
    <xf numFmtId="0" fontId="53" fillId="30" borderId="17" xfId="0" applyFont="1" applyFill="1" applyBorder="1" applyAlignment="1">
      <alignment vertical="top" wrapText="1"/>
    </xf>
    <xf numFmtId="0" fontId="0" fillId="30" borderId="18" xfId="0" applyFill="1" applyBorder="1" applyAlignment="1">
      <alignment vertical="top" wrapText="1"/>
    </xf>
    <xf numFmtId="0" fontId="57" fillId="0" borderId="18" xfId="0" applyFont="1" applyBorder="1" applyAlignment="1">
      <alignment vertical="top" wrapText="1"/>
    </xf>
    <xf numFmtId="0" fontId="51" fillId="0" borderId="18" xfId="0" applyFont="1" applyBorder="1" applyAlignment="1">
      <alignment horizontal="left" vertical="top" wrapText="1"/>
    </xf>
    <xf numFmtId="0" fontId="51" fillId="0" borderId="17" xfId="0" applyFont="1" applyBorder="1" applyAlignment="1">
      <alignment horizontal="left" vertical="top" wrapText="1"/>
    </xf>
    <xf numFmtId="0" fontId="42" fillId="26" borderId="16" xfId="0" applyFont="1" applyFill="1" applyBorder="1" applyAlignment="1">
      <alignment horizontal="left" vertical="top" wrapText="1" readingOrder="1"/>
    </xf>
    <xf numFmtId="0" fontId="42" fillId="26" borderId="18" xfId="0" applyFont="1" applyFill="1" applyBorder="1" applyAlignment="1">
      <alignment horizontal="left" vertical="top" wrapText="1" readingOrder="1"/>
    </xf>
    <xf numFmtId="0" fontId="42" fillId="26" borderId="17" xfId="0" applyFont="1" applyFill="1" applyBorder="1" applyAlignment="1">
      <alignment horizontal="left" vertical="top" wrapText="1" readingOrder="1"/>
    </xf>
    <xf numFmtId="0" fontId="42" fillId="30" borderId="16" xfId="0" applyFont="1" applyFill="1" applyBorder="1" applyAlignment="1">
      <alignment horizontal="left" vertical="top" wrapText="1" readingOrder="1"/>
    </xf>
    <xf numFmtId="0" fontId="42" fillId="30" borderId="18" xfId="0" applyFont="1" applyFill="1" applyBorder="1" applyAlignment="1">
      <alignment horizontal="left" vertical="top" wrapText="1" readingOrder="1"/>
    </xf>
    <xf numFmtId="0" fontId="42" fillId="30" borderId="17" xfId="0" applyFont="1" applyFill="1" applyBorder="1" applyAlignment="1">
      <alignment horizontal="left" vertical="top" wrapText="1" readingOrder="1"/>
    </xf>
    <xf numFmtId="0" fontId="38" fillId="30" borderId="16" xfId="0" applyFont="1" applyFill="1" applyBorder="1" applyAlignment="1">
      <alignment horizontal="left" vertical="top" wrapText="1" readingOrder="1"/>
    </xf>
    <xf numFmtId="0" fontId="38" fillId="30" borderId="18" xfId="0" applyFont="1" applyFill="1" applyBorder="1" applyAlignment="1">
      <alignment horizontal="left" vertical="top" wrapText="1" readingOrder="1"/>
    </xf>
    <xf numFmtId="0" fontId="0" fillId="30" borderId="18" xfId="0" applyFill="1" applyBorder="1" applyAlignment="1">
      <alignment horizontal="left" vertical="top" wrapText="1" readingOrder="1"/>
    </xf>
    <xf numFmtId="0" fontId="38" fillId="30" borderId="17" xfId="0" applyFont="1" applyFill="1" applyBorder="1" applyAlignment="1">
      <alignment horizontal="left" vertical="top" wrapText="1" readingOrder="1"/>
    </xf>
    <xf numFmtId="0" fontId="57" fillId="30" borderId="18" xfId="0" applyFont="1" applyFill="1" applyBorder="1" applyAlignment="1">
      <alignment vertical="top" wrapText="1"/>
    </xf>
    <xf numFmtId="0" fontId="57" fillId="30" borderId="17" xfId="0" applyFont="1" applyFill="1" applyBorder="1" applyAlignment="1">
      <alignment vertical="top" wrapText="1"/>
    </xf>
    <xf numFmtId="0" fontId="42" fillId="31" borderId="16" xfId="0" applyFont="1" applyFill="1" applyBorder="1" applyAlignment="1">
      <alignment horizontal="left" vertical="top" wrapText="1" readingOrder="1"/>
    </xf>
    <xf numFmtId="0" fontId="0" fillId="31" borderId="18" xfId="0" applyFill="1" applyBorder="1" applyAlignment="1">
      <alignment horizontal="left" vertical="top" wrapText="1" readingOrder="1"/>
    </xf>
    <xf numFmtId="0" fontId="42" fillId="31" borderId="18" xfId="0" applyFont="1" applyFill="1" applyBorder="1" applyAlignment="1">
      <alignment horizontal="left" vertical="top" wrapText="1" readingOrder="1"/>
    </xf>
    <xf numFmtId="0" fontId="42" fillId="31" borderId="17" xfId="0" applyFont="1" applyFill="1" applyBorder="1" applyAlignment="1">
      <alignment horizontal="left" vertical="top" wrapText="1" readingOrder="1"/>
    </xf>
    <xf numFmtId="0" fontId="0" fillId="30" borderId="16" xfId="0" applyFill="1" applyBorder="1" applyAlignment="1">
      <alignment vertical="top" wrapText="1"/>
    </xf>
    <xf numFmtId="0" fontId="53" fillId="32" borderId="16" xfId="0" applyFont="1" applyFill="1" applyBorder="1" applyAlignment="1">
      <alignment vertical="top" wrapText="1"/>
    </xf>
    <xf numFmtId="0" fontId="53" fillId="32" borderId="18" xfId="0" applyFont="1" applyFill="1" applyBorder="1" applyAlignment="1">
      <alignment vertical="top" wrapText="1"/>
    </xf>
    <xf numFmtId="0" fontId="53" fillId="32" borderId="17" xfId="0" applyFont="1" applyFill="1" applyBorder="1" applyAlignment="1">
      <alignment vertical="top" wrapText="1"/>
    </xf>
    <xf numFmtId="0" fontId="0" fillId="32" borderId="16" xfId="0" applyFill="1" applyBorder="1" applyAlignment="1">
      <alignment vertical="top" wrapText="1"/>
    </xf>
    <xf numFmtId="0" fontId="0" fillId="32" borderId="18" xfId="0" applyFill="1" applyBorder="1" applyAlignment="1">
      <alignment vertical="top" wrapText="1"/>
    </xf>
    <xf numFmtId="0" fontId="53" fillId="33" borderId="16" xfId="0" applyFont="1" applyFill="1" applyBorder="1" applyAlignment="1">
      <alignment vertical="top" wrapText="1"/>
    </xf>
    <xf numFmtId="0" fontId="53" fillId="33" borderId="18" xfId="0" applyFont="1" applyFill="1" applyBorder="1" applyAlignment="1">
      <alignment vertical="top" wrapText="1"/>
    </xf>
    <xf numFmtId="0" fontId="53" fillId="33" borderId="17" xfId="0" applyFont="1" applyFill="1" applyBorder="1" applyAlignment="1">
      <alignment vertical="top" wrapText="1"/>
    </xf>
    <xf numFmtId="0" fontId="0" fillId="33" borderId="18" xfId="0" applyFill="1" applyBorder="1" applyAlignment="1">
      <alignment vertical="top" wrapText="1"/>
    </xf>
    <xf numFmtId="0" fontId="58" fillId="33" borderId="18" xfId="0" applyFont="1" applyFill="1" applyBorder="1" applyAlignment="1">
      <alignment vertical="top" wrapText="1"/>
    </xf>
    <xf numFmtId="0" fontId="58" fillId="33" borderId="17" xfId="0" applyFont="1" applyFill="1" applyBorder="1" applyAlignment="1">
      <alignment vertical="top" wrapText="1"/>
    </xf>
    <xf numFmtId="0" fontId="38" fillId="34" borderId="0" xfId="0" applyFont="1" applyFill="1" applyAlignment="1">
      <alignment horizontal="center" vertical="center" wrapText="1"/>
    </xf>
    <xf numFmtId="0" fontId="2" fillId="34" borderId="0" xfId="0" applyFont="1" applyFill="1" applyAlignment="1">
      <alignment vertical="center" wrapText="1"/>
    </xf>
    <xf numFmtId="0" fontId="2" fillId="34" borderId="0" xfId="0" applyFont="1" applyFill="1"/>
    <xf numFmtId="0" fontId="30" fillId="34" borderId="19" xfId="0" applyFont="1" applyFill="1" applyBorder="1" applyAlignment="1">
      <alignment horizontal="center" vertical="center" wrapText="1"/>
    </xf>
    <xf numFmtId="0" fontId="35" fillId="34" borderId="19" xfId="0" applyFont="1" applyFill="1" applyBorder="1" applyAlignment="1">
      <alignment horizontal="center" vertical="center" wrapText="1"/>
    </xf>
    <xf numFmtId="0" fontId="2" fillId="34" borderId="0" xfId="0" applyFont="1" applyFill="1" applyAlignment="1">
      <alignment horizontal="center" vertical="center" wrapText="1"/>
    </xf>
    <xf numFmtId="0" fontId="63" fillId="34" borderId="19" xfId="0" applyFont="1" applyFill="1" applyBorder="1" applyAlignment="1">
      <alignment horizontal="left" vertical="center" wrapText="1"/>
    </xf>
    <xf numFmtId="0" fontId="62" fillId="0" borderId="19" xfId="0" applyFont="1" applyBorder="1" applyAlignment="1">
      <alignment horizontal="left" vertical="center" wrapText="1"/>
    </xf>
    <xf numFmtId="0" fontId="62" fillId="34" borderId="0" xfId="0" applyFont="1" applyFill="1"/>
    <xf numFmtId="0" fontId="30" fillId="34" borderId="0" xfId="0" applyFont="1" applyFill="1"/>
    <xf numFmtId="0" fontId="54" fillId="26" borderId="10" xfId="0" applyFont="1" applyFill="1" applyBorder="1" applyAlignment="1">
      <alignment horizontal="left" vertical="top" wrapText="1" readingOrder="1"/>
    </xf>
    <xf numFmtId="0" fontId="53" fillId="0" borderId="16" xfId="0" applyFont="1" applyBorder="1" applyAlignment="1">
      <alignment horizontal="center" vertical="top"/>
    </xf>
    <xf numFmtId="0" fontId="60" fillId="0" borderId="0" xfId="0" applyFont="1" applyAlignment="1">
      <alignment vertical="center"/>
    </xf>
    <xf numFmtId="0" fontId="41" fillId="0" borderId="0" xfId="0" applyFont="1" applyAlignment="1">
      <alignment horizontal="left" vertical="top" wrapText="1" readingOrder="1"/>
    </xf>
    <xf numFmtId="0" fontId="53" fillId="0" borderId="16" xfId="0" applyFont="1" applyBorder="1" applyAlignment="1">
      <alignment horizontal="left" vertical="top"/>
    </xf>
    <xf numFmtId="0" fontId="53" fillId="0" borderId="16" xfId="0" applyFont="1" applyBorder="1" applyAlignment="1">
      <alignment vertical="top"/>
    </xf>
    <xf numFmtId="0" fontId="53" fillId="0" borderId="18" xfId="0" applyFont="1" applyBorder="1" applyAlignment="1">
      <alignment horizontal="left" vertical="top" wrapText="1" readingOrder="1"/>
    </xf>
    <xf numFmtId="0" fontId="42" fillId="0" borderId="16" xfId="0" applyFont="1" applyBorder="1" applyAlignment="1">
      <alignment horizontal="left" vertical="top" wrapText="1" readingOrder="1"/>
    </xf>
    <xf numFmtId="0" fontId="53" fillId="0" borderId="16" xfId="0" applyFont="1" applyBorder="1" applyAlignment="1">
      <alignment horizontal="left" vertical="top" wrapText="1" readingOrder="1"/>
    </xf>
    <xf numFmtId="0" fontId="2" fillId="0" borderId="0" xfId="0" applyFont="1" applyAlignment="1">
      <alignment horizontal="center" vertical="center"/>
    </xf>
    <xf numFmtId="0" fontId="30" fillId="0" borderId="19" xfId="0" applyFont="1" applyBorder="1" applyAlignment="1">
      <alignment horizontal="center" vertical="center" wrapText="1"/>
    </xf>
    <xf numFmtId="0" fontId="30" fillId="35" borderId="19" xfId="0" applyFont="1" applyFill="1" applyBorder="1" applyAlignment="1">
      <alignment horizontal="left" vertical="center" wrapText="1"/>
    </xf>
    <xf numFmtId="0" fontId="66" fillId="35" borderId="19" xfId="0" applyFont="1" applyFill="1" applyBorder="1" applyAlignment="1">
      <alignment horizontal="left" vertical="center" wrapText="1"/>
    </xf>
    <xf numFmtId="0" fontId="35" fillId="35" borderId="19" xfId="0" applyFont="1" applyFill="1" applyBorder="1" applyAlignment="1">
      <alignment horizontal="left" vertical="center" wrapText="1"/>
    </xf>
    <xf numFmtId="0" fontId="67" fillId="35" borderId="19" xfId="0" applyFont="1" applyFill="1" applyBorder="1" applyAlignment="1">
      <alignment horizontal="left" vertical="center" wrapText="1"/>
    </xf>
    <xf numFmtId="0" fontId="2" fillId="0" borderId="19" xfId="0" applyFont="1" applyBorder="1" applyAlignment="1">
      <alignment horizontal="left" vertical="center" wrapText="1"/>
    </xf>
    <xf numFmtId="0" fontId="68" fillId="0" borderId="0" xfId="0" applyFont="1"/>
    <xf numFmtId="0" fontId="42" fillId="36" borderId="0" xfId="0" applyFont="1" applyFill="1" applyAlignment="1">
      <alignment horizontal="left" vertical="top" wrapText="1" readingOrder="1"/>
    </xf>
    <xf numFmtId="0" fontId="53" fillId="36" borderId="18" xfId="0" applyFont="1" applyFill="1" applyBorder="1" applyAlignment="1">
      <alignment horizontal="left" vertical="top"/>
    </xf>
    <xf numFmtId="0" fontId="53" fillId="36" borderId="16" xfId="0" applyFont="1" applyFill="1" applyBorder="1" applyAlignment="1">
      <alignment horizontal="left" vertical="top" wrapText="1"/>
    </xf>
    <xf numFmtId="0" fontId="53" fillId="36" borderId="16" xfId="0" applyFont="1" applyFill="1" applyBorder="1" applyAlignment="1">
      <alignment horizontal="left" vertical="top"/>
    </xf>
    <xf numFmtId="0" fontId="58" fillId="36" borderId="16" xfId="0" applyFont="1" applyFill="1" applyBorder="1" applyAlignment="1">
      <alignment horizontal="left" vertical="top"/>
    </xf>
    <xf numFmtId="0" fontId="58" fillId="36" borderId="16" xfId="0" applyFont="1" applyFill="1" applyBorder="1" applyAlignment="1">
      <alignment horizontal="left" vertical="top" wrapText="1"/>
    </xf>
    <xf numFmtId="0" fontId="58" fillId="28" borderId="16" xfId="0" applyFont="1" applyFill="1" applyBorder="1" applyAlignment="1">
      <alignment horizontal="left" vertical="top" wrapText="1"/>
    </xf>
    <xf numFmtId="0" fontId="58" fillId="36" borderId="18" xfId="0" applyFont="1" applyFill="1" applyBorder="1" applyAlignment="1">
      <alignment horizontal="left" vertical="top"/>
    </xf>
    <xf numFmtId="0" fontId="58" fillId="36" borderId="18" xfId="0" applyFont="1" applyFill="1" applyBorder="1" applyAlignment="1">
      <alignment horizontal="left" vertical="top" wrapText="1"/>
    </xf>
    <xf numFmtId="0" fontId="58" fillId="28" borderId="18" xfId="0" applyFont="1" applyFill="1" applyBorder="1" applyAlignment="1">
      <alignment horizontal="left" vertical="top" wrapText="1"/>
    </xf>
    <xf numFmtId="0" fontId="53" fillId="35" borderId="16" xfId="0" applyFont="1" applyFill="1" applyBorder="1" applyAlignment="1">
      <alignment horizontal="center" vertical="top"/>
    </xf>
    <xf numFmtId="0" fontId="53" fillId="35" borderId="16" xfId="0" applyFont="1" applyFill="1" applyBorder="1" applyAlignment="1">
      <alignment horizontal="left" vertical="top" wrapText="1"/>
    </xf>
    <xf numFmtId="0" fontId="53" fillId="35" borderId="16" xfId="0" applyFont="1" applyFill="1" applyBorder="1" applyAlignment="1">
      <alignment horizontal="left" vertical="top"/>
    </xf>
    <xf numFmtId="0" fontId="0" fillId="35" borderId="0" xfId="0" applyFill="1"/>
    <xf numFmtId="0" fontId="1" fillId="35" borderId="16" xfId="0" applyFont="1" applyFill="1" applyBorder="1" applyAlignment="1">
      <alignment horizontal="left" vertical="top" wrapText="1"/>
    </xf>
    <xf numFmtId="0" fontId="53" fillId="35" borderId="16" xfId="0" applyFont="1" applyFill="1" applyBorder="1" applyAlignment="1">
      <alignment vertical="top" wrapText="1"/>
    </xf>
    <xf numFmtId="0" fontId="53" fillId="35" borderId="16" xfId="0" applyFont="1" applyFill="1" applyBorder="1" applyAlignment="1">
      <alignment vertical="top"/>
    </xf>
    <xf numFmtId="0" fontId="42" fillId="36" borderId="16" xfId="0" applyFont="1" applyFill="1" applyBorder="1" applyAlignment="1">
      <alignment horizontal="left" vertical="top" wrapText="1" readingOrder="1"/>
    </xf>
    <xf numFmtId="0" fontId="69" fillId="0" borderId="16" xfId="0" applyFont="1" applyBorder="1" applyAlignment="1">
      <alignment horizontal="left" vertical="top" wrapText="1"/>
    </xf>
    <xf numFmtId="0" fontId="53" fillId="0" borderId="12" xfId="0" applyFont="1" applyBorder="1" applyAlignment="1">
      <alignment horizontal="left" vertical="top"/>
    </xf>
    <xf numFmtId="0" fontId="53" fillId="35" borderId="12" xfId="0" applyFont="1" applyFill="1" applyBorder="1" applyAlignment="1">
      <alignment horizontal="left" vertical="top" wrapText="1" readingOrder="1"/>
    </xf>
    <xf numFmtId="0" fontId="53" fillId="35" borderId="12" xfId="0" applyFont="1" applyFill="1" applyBorder="1" applyAlignment="1">
      <alignment horizontal="left" vertical="top"/>
    </xf>
    <xf numFmtId="0" fontId="53" fillId="36" borderId="16" xfId="0" applyFont="1" applyFill="1" applyBorder="1" applyAlignment="1">
      <alignment vertical="top"/>
    </xf>
    <xf numFmtId="0" fontId="1" fillId="0" borderId="16" xfId="0" applyFont="1" applyBorder="1" applyAlignment="1">
      <alignment horizontal="center" vertical="top"/>
    </xf>
    <xf numFmtId="0" fontId="2" fillId="0" borderId="16" xfId="0" applyFont="1" applyBorder="1" applyAlignment="1">
      <alignment horizontal="left" vertical="top" wrapText="1" readingOrder="1"/>
    </xf>
    <xf numFmtId="0" fontId="1" fillId="0" borderId="16" xfId="0" applyFont="1" applyBorder="1" applyAlignment="1">
      <alignment vertical="top" wrapText="1"/>
    </xf>
    <xf numFmtId="0" fontId="53" fillId="36" borderId="16" xfId="0" applyFont="1" applyFill="1" applyBorder="1" applyAlignment="1">
      <alignment vertical="top" wrapText="1"/>
    </xf>
    <xf numFmtId="0" fontId="0" fillId="36" borderId="16" xfId="0" applyFill="1" applyBorder="1" applyAlignment="1">
      <alignment vertical="top" wrapText="1"/>
    </xf>
    <xf numFmtId="0" fontId="53" fillId="0" borderId="12" xfId="0" applyFont="1" applyBorder="1" applyAlignment="1">
      <alignment vertical="top"/>
    </xf>
    <xf numFmtId="0" fontId="1" fillId="0" borderId="16" xfId="0" applyFont="1" applyBorder="1" applyAlignment="1">
      <alignment vertical="top"/>
    </xf>
    <xf numFmtId="0" fontId="60" fillId="0" borderId="0" xfId="0" applyFont="1" applyAlignment="1">
      <alignment horizontal="left" vertical="top" wrapText="1" readingOrder="1"/>
    </xf>
    <xf numFmtId="0" fontId="30" fillId="34" borderId="0" xfId="0" applyFont="1" applyFill="1" applyAlignment="1">
      <alignment horizontal="left" vertical="center"/>
    </xf>
    <xf numFmtId="0" fontId="0" fillId="0" borderId="0" xfId="0" applyAlignment="1">
      <alignment vertical="center"/>
    </xf>
    <xf numFmtId="0" fontId="41" fillId="0" borderId="0" xfId="0" applyFont="1" applyAlignment="1">
      <alignment horizontal="left" wrapText="1" readingOrder="1"/>
    </xf>
    <xf numFmtId="0" fontId="42" fillId="0" borderId="0" xfId="0" applyFont="1" applyAlignment="1">
      <alignment horizontal="left" wrapText="1" readingOrder="1"/>
    </xf>
    <xf numFmtId="0" fontId="70" fillId="0" borderId="0" xfId="0" applyFont="1" applyAlignment="1">
      <alignment vertical="top"/>
    </xf>
    <xf numFmtId="0" fontId="0" fillId="0" borderId="0" xfId="0" applyAlignment="1">
      <alignment vertical="top"/>
    </xf>
    <xf numFmtId="0" fontId="30" fillId="0" borderId="0" xfId="0" applyFont="1"/>
    <xf numFmtId="0" fontId="63" fillId="0" borderId="19" xfId="0" applyFont="1" applyBorder="1" applyAlignment="1">
      <alignment horizontal="left" vertical="center" wrapText="1"/>
    </xf>
    <xf numFmtId="0" fontId="38" fillId="34" borderId="19" xfId="0" applyFont="1" applyFill="1" applyBorder="1" applyAlignment="1">
      <alignment horizontal="left" vertical="center" wrapText="1"/>
    </xf>
    <xf numFmtId="0" fontId="30" fillId="35" borderId="20" xfId="0" applyFont="1" applyFill="1" applyBorder="1" applyAlignment="1">
      <alignment horizontal="left" vertical="center"/>
    </xf>
    <xf numFmtId="0" fontId="30" fillId="35" borderId="20" xfId="0" applyFont="1" applyFill="1" applyBorder="1" applyAlignment="1">
      <alignment horizontal="left" vertical="center" wrapText="1"/>
    </xf>
    <xf numFmtId="0" fontId="30" fillId="0" borderId="20" xfId="0" applyFont="1" applyBorder="1" applyAlignment="1">
      <alignment horizontal="center" vertical="center"/>
    </xf>
    <xf numFmtId="0" fontId="30" fillId="35" borderId="20" xfId="0" applyFont="1" applyFill="1" applyBorder="1" applyAlignment="1">
      <alignment horizontal="center" vertical="center"/>
    </xf>
    <xf numFmtId="0" fontId="30" fillId="35" borderId="0" xfId="0" applyFont="1" applyFill="1" applyAlignment="1">
      <alignment horizontal="center" vertical="center"/>
    </xf>
    <xf numFmtId="0" fontId="35" fillId="0" borderId="19" xfId="0" applyFont="1" applyBorder="1" applyAlignment="1">
      <alignment horizontal="center" vertical="center" wrapText="1"/>
    </xf>
    <xf numFmtId="0" fontId="71" fillId="35" borderId="20" xfId="0" applyFont="1" applyFill="1" applyBorder="1" applyAlignment="1">
      <alignment horizontal="left" vertical="center" wrapText="1"/>
    </xf>
    <xf numFmtId="0" fontId="72" fillId="34" borderId="19" xfId="0" applyFont="1" applyFill="1" applyBorder="1" applyAlignment="1">
      <alignment vertical="center" wrapText="1"/>
    </xf>
    <xf numFmtId="0" fontId="71" fillId="35" borderId="0" xfId="0" applyFont="1" applyFill="1" applyAlignment="1">
      <alignment horizontal="left" vertical="center" wrapText="1"/>
    </xf>
    <xf numFmtId="0" fontId="72" fillId="35" borderId="19" xfId="0" applyFont="1" applyFill="1" applyBorder="1" applyAlignment="1">
      <alignment vertical="center" wrapText="1"/>
    </xf>
    <xf numFmtId="0" fontId="72" fillId="35" borderId="19" xfId="0" applyFont="1" applyFill="1" applyBorder="1" applyAlignment="1">
      <alignment horizontal="left" vertical="center" wrapText="1"/>
    </xf>
    <xf numFmtId="0" fontId="73" fillId="35" borderId="0" xfId="0" applyFont="1" applyFill="1" applyAlignment="1">
      <alignment vertical="center" wrapText="1"/>
    </xf>
    <xf numFmtId="0" fontId="73" fillId="35" borderId="19" xfId="0" applyFont="1" applyFill="1" applyBorder="1" applyAlignment="1">
      <alignment vertical="center" wrapText="1"/>
    </xf>
    <xf numFmtId="0" fontId="2" fillId="0" borderId="0" xfId="0" applyFont="1" applyAlignment="1">
      <alignment horizontal="left" vertical="center"/>
    </xf>
    <xf numFmtId="0" fontId="40" fillId="0" borderId="0" xfId="0" applyFont="1" applyAlignment="1">
      <alignment vertical="top" wrapText="1" readingOrder="1"/>
    </xf>
    <xf numFmtId="0" fontId="41" fillId="0" borderId="0" xfId="0" applyFont="1" applyAlignment="1">
      <alignment vertical="top" wrapText="1" readingOrder="1"/>
    </xf>
    <xf numFmtId="0" fontId="2" fillId="0" borderId="0" xfId="0" applyFont="1" applyAlignment="1">
      <alignment horizontal="left" vertical="center" wrapText="1" readingOrder="1"/>
    </xf>
    <xf numFmtId="0" fontId="30" fillId="0" borderId="19" xfId="0" applyFont="1" applyBorder="1" applyAlignment="1">
      <alignment horizontal="left" vertical="top"/>
    </xf>
    <xf numFmtId="0" fontId="71" fillId="0" borderId="19" xfId="0" applyFont="1" applyBorder="1" applyAlignment="1">
      <alignment horizontal="left" vertical="top" wrapText="1"/>
    </xf>
    <xf numFmtId="0" fontId="70" fillId="0" borderId="19" xfId="0" applyFont="1" applyBorder="1" applyAlignment="1">
      <alignment horizontal="left" vertical="center" wrapText="1"/>
    </xf>
    <xf numFmtId="0" fontId="52" fillId="0" borderId="0" xfId="0" applyFont="1" applyAlignment="1">
      <alignment vertical="top" readingOrder="1"/>
    </xf>
    <xf numFmtId="0" fontId="52" fillId="0" borderId="0" xfId="0" applyFont="1" applyAlignment="1">
      <alignment vertical="top" wrapText="1" readingOrder="1"/>
    </xf>
    <xf numFmtId="0" fontId="35" fillId="0" borderId="0" xfId="0" applyFont="1" applyAlignment="1">
      <alignment vertical="top" wrapText="1" readingOrder="1"/>
    </xf>
    <xf numFmtId="0" fontId="42" fillId="0" borderId="0" xfId="0" applyFont="1" applyAlignment="1">
      <alignment vertical="top"/>
    </xf>
    <xf numFmtId="0" fontId="51" fillId="0" borderId="0" xfId="0" applyFont="1" applyAlignment="1">
      <alignment vertical="top"/>
    </xf>
    <xf numFmtId="0" fontId="52" fillId="0" borderId="21" xfId="0" applyFont="1" applyBorder="1" applyAlignment="1">
      <alignment vertical="top" wrapText="1" readingOrder="1"/>
    </xf>
    <xf numFmtId="0" fontId="52" fillId="0" borderId="21" xfId="0" applyFont="1" applyBorder="1" applyAlignment="1">
      <alignment horizontal="left" vertical="top" wrapText="1" readingOrder="1"/>
    </xf>
    <xf numFmtId="0" fontId="35" fillId="0" borderId="21" xfId="0" applyFont="1" applyBorder="1" applyAlignment="1">
      <alignment vertical="top" wrapText="1" readingOrder="1"/>
    </xf>
    <xf numFmtId="0" fontId="52" fillId="0" borderId="22" xfId="0" applyFont="1" applyBorder="1" applyAlignment="1">
      <alignment vertical="top" wrapText="1" readingOrder="1"/>
    </xf>
    <xf numFmtId="0" fontId="42" fillId="0" borderId="22" xfId="0" applyFont="1" applyBorder="1" applyAlignment="1">
      <alignment horizontal="left" vertical="top" wrapText="1" readingOrder="1"/>
    </xf>
    <xf numFmtId="0" fontId="35" fillId="0" borderId="22" xfId="0" applyFont="1" applyBorder="1" applyAlignment="1">
      <alignment vertical="top" wrapText="1" readingOrder="1"/>
    </xf>
    <xf numFmtId="0" fontId="42" fillId="0" borderId="19" xfId="0" applyFont="1" applyBorder="1" applyAlignment="1">
      <alignment vertical="top" wrapText="1" readingOrder="1"/>
    </xf>
    <xf numFmtId="0" fontId="42" fillId="0" borderId="19" xfId="0" applyFont="1" applyBorder="1" applyAlignment="1">
      <alignment vertical="top" wrapText="1"/>
    </xf>
    <xf numFmtId="0" fontId="53" fillId="0" borderId="19" xfId="0" applyFont="1" applyBorder="1" applyAlignment="1">
      <alignment vertical="top"/>
    </xf>
    <xf numFmtId="0" fontId="75" fillId="0" borderId="19" xfId="0" applyFont="1" applyBorder="1" applyAlignment="1">
      <alignment vertical="top" wrapText="1"/>
    </xf>
    <xf numFmtId="0" fontId="75" fillId="0" borderId="19" xfId="0" applyFont="1" applyBorder="1" applyAlignment="1">
      <alignment horizontal="left" vertical="top" wrapText="1" readingOrder="1"/>
    </xf>
    <xf numFmtId="0" fontId="30" fillId="0" borderId="19" xfId="0" applyFont="1" applyBorder="1" applyAlignment="1">
      <alignment horizontal="left" vertical="top" wrapText="1" readingOrder="1"/>
    </xf>
    <xf numFmtId="0" fontId="2" fillId="0" borderId="19" xfId="0" applyFont="1" applyBorder="1" applyAlignment="1">
      <alignment horizontal="left" vertical="top" wrapText="1" readingOrder="1"/>
    </xf>
    <xf numFmtId="0" fontId="71" fillId="0" borderId="19" xfId="0" applyFont="1" applyBorder="1" applyAlignment="1">
      <alignment horizontal="left" vertical="top" wrapText="1" readingOrder="1"/>
    </xf>
    <xf numFmtId="0" fontId="65" fillId="0" borderId="22" xfId="0" applyFont="1" applyBorder="1" applyAlignment="1">
      <alignment vertical="top" wrapText="1" readingOrder="1"/>
    </xf>
    <xf numFmtId="0" fontId="2" fillId="0" borderId="19" xfId="0" applyFont="1" applyBorder="1" applyAlignment="1">
      <alignment horizontal="left" vertical="top"/>
    </xf>
    <xf numFmtId="14" fontId="2" fillId="0" borderId="19" xfId="0" applyNumberFormat="1" applyFont="1" applyBorder="1" applyAlignment="1">
      <alignment horizontal="left" vertical="top"/>
    </xf>
    <xf numFmtId="49" fontId="2" fillId="0" borderId="19" xfId="0" applyNumberFormat="1" applyFont="1" applyBorder="1" applyAlignment="1">
      <alignment horizontal="left" vertical="top"/>
    </xf>
    <xf numFmtId="49" fontId="38" fillId="0" borderId="19" xfId="0" applyNumberFormat="1" applyFont="1" applyBorder="1" applyAlignment="1">
      <alignment horizontal="left" vertical="top"/>
    </xf>
    <xf numFmtId="14" fontId="38" fillId="0" borderId="19" xfId="0" applyNumberFormat="1" applyFont="1" applyBorder="1" applyAlignment="1">
      <alignment horizontal="left" vertical="top"/>
    </xf>
    <xf numFmtId="0" fontId="75" fillId="35" borderId="19" xfId="0" applyFont="1" applyFill="1" applyBorder="1" applyAlignment="1">
      <alignment vertical="top" wrapText="1"/>
    </xf>
    <xf numFmtId="0" fontId="75" fillId="35" borderId="0" xfId="0" applyFont="1" applyFill="1" applyAlignment="1">
      <alignment vertical="top" wrapText="1"/>
    </xf>
    <xf numFmtId="0" fontId="67" fillId="0" borderId="19" xfId="0" applyFont="1" applyBorder="1" applyAlignment="1">
      <alignment horizontal="center" vertical="center" wrapText="1"/>
    </xf>
    <xf numFmtId="0" fontId="35" fillId="35" borderId="20" xfId="0" applyFont="1" applyFill="1" applyBorder="1" applyAlignment="1">
      <alignment horizontal="center" vertical="center" wrapText="1"/>
    </xf>
    <xf numFmtId="0" fontId="35" fillId="35" borderId="19" xfId="0" applyFont="1" applyFill="1" applyBorder="1" applyAlignment="1">
      <alignment horizontal="center" vertical="center" wrapText="1"/>
    </xf>
    <xf numFmtId="0" fontId="67" fillId="35" borderId="19" xfId="0" applyFont="1" applyFill="1" applyBorder="1" applyAlignment="1">
      <alignment horizontal="center" vertical="center" wrapText="1"/>
    </xf>
    <xf numFmtId="0" fontId="67" fillId="34" borderId="19" xfId="0" applyFont="1" applyFill="1" applyBorder="1" applyAlignment="1">
      <alignment horizontal="center" vertical="center" wrapText="1"/>
    </xf>
    <xf numFmtId="0" fontId="30" fillId="35" borderId="19" xfId="0" applyFont="1" applyFill="1" applyBorder="1" applyAlignment="1">
      <alignment horizontal="center" vertical="center" wrapText="1"/>
    </xf>
    <xf numFmtId="0" fontId="66" fillId="34" borderId="19" xfId="0" applyFont="1" applyFill="1" applyBorder="1" applyAlignment="1">
      <alignment horizontal="center" vertical="center" wrapText="1"/>
    </xf>
    <xf numFmtId="0" fontId="62" fillId="34" borderId="19" xfId="0" applyFont="1" applyFill="1" applyBorder="1" applyAlignment="1">
      <alignment horizontal="left" vertical="center" wrapText="1"/>
    </xf>
    <xf numFmtId="0" fontId="65" fillId="35" borderId="19" xfId="0" applyFont="1" applyFill="1" applyBorder="1" applyAlignment="1">
      <alignment horizontal="left" vertical="center" wrapText="1"/>
    </xf>
    <xf numFmtId="0" fontId="62" fillId="0" borderId="0" xfId="0" applyFont="1" applyAlignment="1">
      <alignment horizontal="left" vertical="center" wrapText="1"/>
    </xf>
    <xf numFmtId="0" fontId="62" fillId="34" borderId="0" xfId="0" applyFont="1" applyFill="1" applyAlignment="1">
      <alignment horizontal="left" vertical="center" wrapText="1"/>
    </xf>
    <xf numFmtId="0" fontId="30" fillId="35" borderId="0" xfId="0" applyFont="1" applyFill="1" applyAlignment="1">
      <alignment horizontal="left" vertical="center" wrapText="1"/>
    </xf>
    <xf numFmtId="0" fontId="30" fillId="0" borderId="19" xfId="0" applyFont="1" applyBorder="1" applyAlignment="1">
      <alignment horizontal="left" vertical="center" wrapText="1" readingOrder="1"/>
    </xf>
    <xf numFmtId="0" fontId="2" fillId="0" borderId="0" xfId="0" applyFont="1" applyAlignment="1">
      <alignment vertical="top" wrapText="1" readingOrder="1"/>
    </xf>
    <xf numFmtId="0" fontId="2" fillId="0" borderId="19" xfId="0" applyFont="1" applyBorder="1" applyAlignment="1">
      <alignment horizontal="left" vertical="center" wrapText="1" readingOrder="1"/>
    </xf>
    <xf numFmtId="0" fontId="38" fillId="0" borderId="19" xfId="0" applyFont="1" applyBorder="1" applyAlignment="1">
      <alignment horizontal="left" vertical="center" wrapText="1" readingOrder="1"/>
    </xf>
    <xf numFmtId="0" fontId="30" fillId="0" borderId="19" xfId="0" applyFont="1" applyBorder="1" applyAlignment="1">
      <alignment horizontal="left" vertical="center"/>
    </xf>
    <xf numFmtId="0" fontId="52" fillId="0" borderId="19" xfId="0" applyFont="1" applyBorder="1" applyAlignment="1">
      <alignment vertical="center" wrapText="1" readingOrder="1"/>
    </xf>
    <xf numFmtId="0" fontId="42" fillId="0" borderId="19" xfId="0" applyFont="1" applyBorder="1" applyAlignment="1">
      <alignment vertical="center" wrapText="1" readingOrder="1"/>
    </xf>
    <xf numFmtId="0" fontId="38" fillId="0" borderId="19" xfId="0" applyFont="1" applyBorder="1" applyAlignment="1">
      <alignment vertical="center" wrapText="1" readingOrder="1"/>
    </xf>
    <xf numFmtId="0" fontId="30" fillId="0" borderId="0" xfId="0" applyFont="1" applyAlignment="1">
      <alignment horizontal="left" vertical="center"/>
    </xf>
    <xf numFmtId="0" fontId="2" fillId="0" borderId="0" xfId="0" applyFont="1" applyAlignment="1">
      <alignment horizontal="left" vertical="top" wrapText="1" readingOrder="1"/>
    </xf>
    <xf numFmtId="0" fontId="44" fillId="0" borderId="0" xfId="205" applyFill="1" applyAlignment="1">
      <alignment vertical="top" wrapText="1" readingOrder="1"/>
    </xf>
    <xf numFmtId="0" fontId="42" fillId="0" borderId="0" xfId="0" applyFont="1" applyAlignment="1">
      <alignment vertical="top" wrapText="1" readingOrder="1"/>
    </xf>
    <xf numFmtId="0" fontId="38" fillId="0" borderId="0" xfId="0" applyFont="1" applyAlignment="1">
      <alignment vertical="top" wrapText="1" readingOrder="1"/>
    </xf>
    <xf numFmtId="0" fontId="42" fillId="0" borderId="0" xfId="0" applyFont="1" applyAlignment="1">
      <alignment horizontal="left" vertical="top" wrapText="1" readingOrder="1"/>
    </xf>
    <xf numFmtId="0" fontId="44" fillId="0" borderId="0" xfId="205" applyFill="1" applyAlignment="1">
      <alignment horizontal="left" vertical="top" wrapText="1" readingOrder="1"/>
    </xf>
    <xf numFmtId="0" fontId="40" fillId="0" borderId="0" xfId="0" applyFont="1" applyAlignment="1">
      <alignment horizontal="left" vertical="top" wrapText="1" readingOrder="1"/>
    </xf>
    <xf numFmtId="0" fontId="41" fillId="0" borderId="0" xfId="0" applyFont="1" applyAlignment="1">
      <alignment horizontal="left" vertical="top" wrapText="1" readingOrder="1"/>
    </xf>
    <xf numFmtId="0" fontId="0" fillId="0" borderId="0" xfId="0" applyAlignment="1">
      <alignment horizontal="left" vertical="top" wrapText="1"/>
    </xf>
    <xf numFmtId="0" fontId="31" fillId="0" borderId="0" xfId="0" applyFont="1" applyAlignment="1" applyProtection="1">
      <alignment horizontal="left" vertical="top" wrapText="1"/>
      <protection locked="0"/>
    </xf>
    <xf numFmtId="0" fontId="36" fillId="0" borderId="0" xfId="205" applyFont="1" applyFill="1" applyAlignment="1">
      <alignment horizontal="left" vertical="top" wrapText="1" readingOrder="1"/>
    </xf>
    <xf numFmtId="0" fontId="42" fillId="0" borderId="0" xfId="0" applyFont="1" applyAlignment="1">
      <alignment vertical="center" wrapText="1" readingOrder="1"/>
    </xf>
    <xf numFmtId="0" fontId="38" fillId="0" borderId="0" xfId="0" applyFont="1" applyAlignment="1">
      <alignment vertical="center" wrapText="1" readingOrder="1"/>
    </xf>
    <xf numFmtId="0" fontId="44" fillId="0" borderId="0" xfId="205" applyFill="1" applyBorder="1" applyAlignment="1">
      <alignment horizontal="left" vertical="top" wrapText="1" readingOrder="1"/>
    </xf>
    <xf numFmtId="0" fontId="42" fillId="0" borderId="0" xfId="0" applyFont="1" applyAlignment="1">
      <alignment horizontal="left" vertical="center" wrapText="1" readingOrder="1"/>
    </xf>
    <xf numFmtId="0" fontId="38" fillId="0" borderId="19" xfId="0" applyFont="1" applyBorder="1" applyAlignment="1">
      <alignment vertical="top" wrapText="1"/>
    </xf>
    <xf numFmtId="0" fontId="2" fillId="0" borderId="19" xfId="0" applyFont="1" applyBorder="1" applyAlignment="1">
      <alignment horizontal="left" vertical="top" wrapText="1"/>
    </xf>
    <xf numFmtId="0" fontId="2" fillId="0" borderId="19" xfId="0" applyFont="1" applyBorder="1" applyAlignment="1">
      <alignment horizontal="left" vertical="top"/>
    </xf>
    <xf numFmtId="0" fontId="30" fillId="0" borderId="19" xfId="0" applyFont="1" applyBorder="1" applyAlignment="1">
      <alignment horizontal="left" vertical="top"/>
    </xf>
    <xf numFmtId="0" fontId="2" fillId="0" borderId="23" xfId="0" applyFont="1" applyBorder="1" applyAlignment="1">
      <alignment horizontal="left" vertical="top"/>
    </xf>
    <xf numFmtId="0" fontId="2" fillId="0" borderId="24" xfId="0" applyFont="1" applyBorder="1" applyAlignment="1">
      <alignment horizontal="left" vertical="top"/>
    </xf>
    <xf numFmtId="0" fontId="2" fillId="0" borderId="25" xfId="0" applyFont="1" applyBorder="1" applyAlignment="1">
      <alignment horizontal="left" vertical="top"/>
    </xf>
    <xf numFmtId="0" fontId="44" fillId="0" borderId="0" xfId="205" applyFill="1" applyBorder="1" applyAlignment="1">
      <alignment horizontal="center" vertical="top" wrapText="1" readingOrder="1"/>
    </xf>
    <xf numFmtId="0" fontId="35" fillId="0" borderId="0" xfId="0" applyFont="1" applyAlignment="1">
      <alignment horizontal="left" vertical="top" wrapText="1" readingOrder="1"/>
    </xf>
    <xf numFmtId="0" fontId="39" fillId="0" borderId="0" xfId="0" applyFont="1" applyAlignment="1">
      <alignment horizontal="left" vertical="top" wrapText="1" readingOrder="1"/>
    </xf>
    <xf numFmtId="0" fontId="37" fillId="0" borderId="0" xfId="0" applyFont="1" applyAlignment="1">
      <alignment horizontal="left" vertical="top" wrapText="1" readingOrder="1"/>
    </xf>
    <xf numFmtId="0" fontId="38" fillId="0" borderId="0" xfId="0" applyFont="1" applyAlignment="1">
      <alignment horizontal="left" vertical="top" wrapText="1" readingOrder="1"/>
    </xf>
    <xf numFmtId="0" fontId="38" fillId="0" borderId="0" xfId="205" applyFont="1" applyFill="1" applyBorder="1" applyAlignment="1">
      <alignment horizontal="left" vertical="top" wrapText="1" readingOrder="1"/>
    </xf>
    <xf numFmtId="0" fontId="38" fillId="0" borderId="19" xfId="0" applyFont="1" applyBorder="1" applyAlignment="1">
      <alignment horizontal="left" vertical="top" wrapText="1" readingOrder="1"/>
    </xf>
    <xf numFmtId="0" fontId="38" fillId="0" borderId="19" xfId="0" applyFont="1" applyBorder="1" applyAlignment="1">
      <alignment horizontal="left" vertical="top"/>
    </xf>
    <xf numFmtId="0" fontId="38" fillId="0" borderId="19" xfId="0" applyFont="1" applyBorder="1" applyAlignment="1">
      <alignment horizontal="left" vertical="top" wrapText="1"/>
    </xf>
    <xf numFmtId="0" fontId="0" fillId="0" borderId="0" xfId="0" applyAlignment="1">
      <alignment horizontal="left" vertical="top" wrapText="1" readingOrder="1"/>
    </xf>
    <xf numFmtId="0" fontId="38" fillId="0" borderId="0" xfId="0" applyFont="1" applyAlignment="1">
      <alignment horizontal="left" vertical="top"/>
    </xf>
    <xf numFmtId="0" fontId="38" fillId="0" borderId="21" xfId="0" applyFont="1" applyBorder="1" applyAlignment="1">
      <alignment horizontal="left" vertical="top" wrapText="1" readingOrder="1"/>
    </xf>
    <xf numFmtId="0" fontId="38" fillId="0" borderId="21" xfId="0" applyFont="1" applyBorder="1" applyAlignment="1">
      <alignment horizontal="left" vertical="top" wrapText="1"/>
    </xf>
    <xf numFmtId="0" fontId="44" fillId="0" borderId="28" xfId="205" applyFill="1" applyBorder="1" applyAlignment="1">
      <alignment horizontal="left" vertical="top" wrapText="1" readingOrder="1"/>
    </xf>
    <xf numFmtId="0" fontId="44" fillId="0" borderId="30" xfId="205" applyFill="1" applyBorder="1" applyAlignment="1">
      <alignment horizontal="left" vertical="top" wrapText="1" readingOrder="1"/>
    </xf>
    <xf numFmtId="0" fontId="44" fillId="0" borderId="29" xfId="205" applyFill="1" applyBorder="1" applyAlignment="1">
      <alignment horizontal="left" vertical="top" wrapText="1" readingOrder="1"/>
    </xf>
    <xf numFmtId="0" fontId="38" fillId="0" borderId="26" xfId="0" applyFont="1" applyBorder="1" applyAlignment="1">
      <alignment horizontal="left" vertical="top" wrapText="1" readingOrder="1"/>
    </xf>
    <xf numFmtId="0" fontId="38" fillId="0" borderId="27" xfId="0" applyFont="1" applyBorder="1" applyAlignment="1">
      <alignment horizontal="left" vertical="top" wrapText="1" readingOrder="1"/>
    </xf>
    <xf numFmtId="0" fontId="38" fillId="0" borderId="28" xfId="0" applyFont="1" applyBorder="1" applyAlignment="1">
      <alignment horizontal="left" vertical="top" wrapText="1" readingOrder="1"/>
    </xf>
    <xf numFmtId="0" fontId="38" fillId="0" borderId="29" xfId="0" applyFont="1" applyBorder="1" applyAlignment="1">
      <alignment horizontal="left" vertical="top" wrapText="1" readingOrder="1"/>
    </xf>
    <xf numFmtId="0" fontId="39" fillId="0" borderId="0" xfId="0" applyFont="1" applyAlignment="1">
      <alignment vertical="top" wrapText="1" readingOrder="1"/>
    </xf>
    <xf numFmtId="0" fontId="30" fillId="0" borderId="0" xfId="0" applyFont="1" applyAlignment="1">
      <alignment horizontal="left" vertical="top" wrapText="1" readingOrder="1"/>
    </xf>
    <xf numFmtId="0" fontId="53" fillId="0" borderId="16" xfId="0" applyFont="1" applyBorder="1" applyAlignment="1">
      <alignment horizontal="left" vertical="top"/>
    </xf>
    <xf numFmtId="0" fontId="53" fillId="0" borderId="18" xfId="0" applyFont="1" applyBorder="1" applyAlignment="1">
      <alignment horizontal="left" vertical="top"/>
    </xf>
    <xf numFmtId="0" fontId="53" fillId="0" borderId="16" xfId="0" applyFont="1" applyBorder="1" applyAlignment="1">
      <alignment horizontal="center" vertical="top"/>
    </xf>
    <xf numFmtId="0" fontId="53" fillId="0" borderId="18" xfId="0" applyFont="1" applyBorder="1" applyAlignment="1">
      <alignment horizontal="center" vertical="top"/>
    </xf>
    <xf numFmtId="0" fontId="53" fillId="0" borderId="17" xfId="0" applyFont="1" applyBorder="1" applyAlignment="1">
      <alignment horizontal="center" vertical="top"/>
    </xf>
    <xf numFmtId="0" fontId="53" fillId="33" borderId="16" xfId="0" applyFont="1" applyFill="1" applyBorder="1" applyAlignment="1">
      <alignment vertical="top"/>
    </xf>
    <xf numFmtId="0" fontId="53" fillId="33" borderId="18" xfId="0" applyFont="1" applyFill="1" applyBorder="1" applyAlignment="1">
      <alignment vertical="top"/>
    </xf>
    <xf numFmtId="0" fontId="53" fillId="33" borderId="17" xfId="0" applyFont="1" applyFill="1" applyBorder="1" applyAlignment="1">
      <alignment vertical="top"/>
    </xf>
    <xf numFmtId="0" fontId="53" fillId="33" borderId="16" xfId="0" applyFont="1" applyFill="1" applyBorder="1" applyAlignment="1">
      <alignment horizontal="left" vertical="top" wrapText="1"/>
    </xf>
    <xf numFmtId="0" fontId="53" fillId="33" borderId="18" xfId="0" applyFont="1" applyFill="1" applyBorder="1" applyAlignment="1">
      <alignment horizontal="left" vertical="top" wrapText="1"/>
    </xf>
    <xf numFmtId="0" fontId="53" fillId="33" borderId="17" xfId="0" applyFont="1" applyFill="1" applyBorder="1" applyAlignment="1">
      <alignment horizontal="left" vertical="top" wrapText="1"/>
    </xf>
    <xf numFmtId="0" fontId="53" fillId="30" borderId="16" xfId="0" applyFont="1" applyFill="1" applyBorder="1" applyAlignment="1">
      <alignment vertical="top"/>
    </xf>
    <xf numFmtId="0" fontId="53" fillId="30" borderId="18" xfId="0" applyFont="1" applyFill="1" applyBorder="1" applyAlignment="1">
      <alignment vertical="top"/>
    </xf>
    <xf numFmtId="0" fontId="53" fillId="30" borderId="17" xfId="0" applyFont="1" applyFill="1" applyBorder="1" applyAlignment="1">
      <alignment vertical="top"/>
    </xf>
    <xf numFmtId="0" fontId="53" fillId="32" borderId="16" xfId="0" applyFont="1" applyFill="1" applyBorder="1" applyAlignment="1">
      <alignment vertical="top"/>
    </xf>
    <xf numFmtId="0" fontId="53" fillId="32" borderId="18" xfId="0" applyFont="1" applyFill="1" applyBorder="1" applyAlignment="1">
      <alignment vertical="top"/>
    </xf>
    <xf numFmtId="0" fontId="53" fillId="32" borderId="17" xfId="0" applyFont="1" applyFill="1" applyBorder="1" applyAlignment="1">
      <alignment vertical="top"/>
    </xf>
    <xf numFmtId="0" fontId="53" fillId="32" borderId="16" xfId="0" applyFont="1" applyFill="1" applyBorder="1" applyAlignment="1">
      <alignment horizontal="left" vertical="top" wrapText="1"/>
    </xf>
    <xf numFmtId="0" fontId="53" fillId="32" borderId="18" xfId="0" applyFont="1" applyFill="1" applyBorder="1" applyAlignment="1">
      <alignment horizontal="left" vertical="top" wrapText="1"/>
    </xf>
    <xf numFmtId="0" fontId="53" fillId="32" borderId="17" xfId="0" applyFont="1" applyFill="1" applyBorder="1" applyAlignment="1">
      <alignment horizontal="left" vertical="top" wrapText="1"/>
    </xf>
    <xf numFmtId="0" fontId="53" fillId="32" borderId="16" xfId="0" applyFont="1" applyFill="1" applyBorder="1" applyAlignment="1">
      <alignment vertical="top" wrapText="1"/>
    </xf>
    <xf numFmtId="0" fontId="53" fillId="32" borderId="18" xfId="0" applyFont="1" applyFill="1" applyBorder="1" applyAlignment="1">
      <alignment vertical="top" wrapText="1"/>
    </xf>
    <xf numFmtId="0" fontId="53" fillId="32" borderId="17" xfId="0" applyFont="1" applyFill="1" applyBorder="1" applyAlignment="1">
      <alignment vertical="top" wrapText="1"/>
    </xf>
    <xf numFmtId="0" fontId="53" fillId="30" borderId="16" xfId="0" applyFont="1" applyFill="1" applyBorder="1" applyAlignment="1">
      <alignment horizontal="left" vertical="top" wrapText="1"/>
    </xf>
    <xf numFmtId="0" fontId="53" fillId="30" borderId="18" xfId="0" applyFont="1" applyFill="1" applyBorder="1" applyAlignment="1">
      <alignment horizontal="left" vertical="top" wrapText="1"/>
    </xf>
    <xf numFmtId="0" fontId="53" fillId="30" borderId="17" xfId="0" applyFont="1" applyFill="1" applyBorder="1" applyAlignment="1">
      <alignment horizontal="left" vertical="top" wrapText="1"/>
    </xf>
    <xf numFmtId="0" fontId="53" fillId="30" borderId="16" xfId="0" applyFont="1" applyFill="1" applyBorder="1" applyAlignment="1">
      <alignment horizontal="center" vertical="top"/>
    </xf>
    <xf numFmtId="0" fontId="53" fillId="30" borderId="18" xfId="0" applyFont="1" applyFill="1" applyBorder="1" applyAlignment="1">
      <alignment horizontal="center" vertical="top"/>
    </xf>
    <xf numFmtId="0" fontId="53" fillId="30" borderId="17" xfId="0" applyFont="1" applyFill="1" applyBorder="1" applyAlignment="1">
      <alignment horizontal="center" vertical="top"/>
    </xf>
    <xf numFmtId="0" fontId="53" fillId="30" borderId="16" xfId="0" applyFont="1" applyFill="1" applyBorder="1" applyAlignment="1">
      <alignment horizontal="left" vertical="top"/>
    </xf>
    <xf numFmtId="0" fontId="53" fillId="30" borderId="18" xfId="0" applyFont="1" applyFill="1" applyBorder="1" applyAlignment="1">
      <alignment horizontal="left" vertical="top"/>
    </xf>
    <xf numFmtId="0" fontId="53" fillId="30" borderId="17" xfId="0" applyFont="1" applyFill="1" applyBorder="1" applyAlignment="1">
      <alignment horizontal="left" vertical="top"/>
    </xf>
    <xf numFmtId="0" fontId="42" fillId="30" borderId="16" xfId="0" applyFont="1" applyFill="1" applyBorder="1" applyAlignment="1">
      <alignment horizontal="left" vertical="top" wrapText="1" readingOrder="1"/>
    </xf>
    <xf numFmtId="0" fontId="42" fillId="30" borderId="18" xfId="0" applyFont="1" applyFill="1" applyBorder="1" applyAlignment="1">
      <alignment horizontal="left" vertical="top" wrapText="1" readingOrder="1"/>
    </xf>
    <xf numFmtId="0" fontId="42" fillId="30" borderId="17" xfId="0" applyFont="1" applyFill="1" applyBorder="1" applyAlignment="1">
      <alignment horizontal="left" vertical="top" wrapText="1" readingOrder="1"/>
    </xf>
    <xf numFmtId="0" fontId="53" fillId="0" borderId="16" xfId="0" applyFont="1" applyBorder="1" applyAlignment="1">
      <alignment vertical="top" wrapText="1"/>
    </xf>
    <xf numFmtId="0" fontId="53" fillId="0" borderId="18" xfId="0" applyFont="1" applyBorder="1" applyAlignment="1">
      <alignment vertical="top" wrapText="1"/>
    </xf>
    <xf numFmtId="0" fontId="53" fillId="0" borderId="17" xfId="0" applyFont="1" applyBorder="1" applyAlignment="1">
      <alignment vertical="top" wrapText="1"/>
    </xf>
    <xf numFmtId="0" fontId="53" fillId="0" borderId="16" xfId="0" applyFont="1" applyBorder="1" applyAlignment="1">
      <alignment vertical="top"/>
    </xf>
    <xf numFmtId="0" fontId="53" fillId="0" borderId="18" xfId="0" applyFont="1" applyBorder="1" applyAlignment="1">
      <alignment vertical="top"/>
    </xf>
    <xf numFmtId="0" fontId="53" fillId="0" borderId="17" xfId="0" applyFont="1" applyBorder="1" applyAlignment="1">
      <alignment vertical="top"/>
    </xf>
    <xf numFmtId="0" fontId="53" fillId="0" borderId="17" xfId="0" applyFont="1" applyBorder="1" applyAlignment="1">
      <alignment horizontal="left" vertical="top"/>
    </xf>
    <xf numFmtId="0" fontId="53" fillId="0" borderId="16" xfId="0" applyFont="1" applyBorder="1" applyAlignment="1">
      <alignment horizontal="left" vertical="top" wrapText="1"/>
    </xf>
    <xf numFmtId="0" fontId="53" fillId="0" borderId="18" xfId="0" applyFont="1" applyBorder="1" applyAlignment="1">
      <alignment horizontal="left" vertical="top" wrapText="1"/>
    </xf>
    <xf numFmtId="0" fontId="53" fillId="0" borderId="17" xfId="0" applyFont="1" applyBorder="1" applyAlignment="1">
      <alignment horizontal="left" vertical="top" wrapText="1"/>
    </xf>
    <xf numFmtId="0" fontId="53" fillId="26" borderId="18" xfId="0" applyFont="1" applyFill="1" applyBorder="1" applyAlignment="1">
      <alignment horizontal="left" vertical="top" wrapText="1" readingOrder="1"/>
    </xf>
    <xf numFmtId="0" fontId="53" fillId="26" borderId="17" xfId="0" applyFont="1" applyFill="1" applyBorder="1" applyAlignment="1">
      <alignment horizontal="left" vertical="top" wrapText="1" readingOrder="1"/>
    </xf>
    <xf numFmtId="0" fontId="53" fillId="0" borderId="16" xfId="0" applyFont="1" applyBorder="1" applyAlignment="1">
      <alignment horizontal="left" vertical="top" wrapText="1" readingOrder="1"/>
    </xf>
    <xf numFmtId="0" fontId="53" fillId="0" borderId="18" xfId="0" applyFont="1" applyBorder="1" applyAlignment="1">
      <alignment horizontal="left" vertical="top" wrapText="1" readingOrder="1"/>
    </xf>
    <xf numFmtId="0" fontId="42" fillId="26" borderId="16" xfId="0" applyFont="1" applyFill="1" applyBorder="1" applyAlignment="1">
      <alignment horizontal="left" vertical="top" wrapText="1" readingOrder="1"/>
    </xf>
    <xf numFmtId="0" fontId="42" fillId="26" borderId="18" xfId="0" applyFont="1" applyFill="1" applyBorder="1" applyAlignment="1">
      <alignment horizontal="left" vertical="top" wrapText="1" readingOrder="1"/>
    </xf>
    <xf numFmtId="0" fontId="42" fillId="26" borderId="17" xfId="0" applyFont="1" applyFill="1" applyBorder="1" applyAlignment="1">
      <alignment horizontal="left" vertical="top" wrapText="1" readingOrder="1"/>
    </xf>
    <xf numFmtId="0" fontId="42" fillId="0" borderId="16" xfId="0" applyFont="1" applyBorder="1" applyAlignment="1">
      <alignment horizontal="left" vertical="top" wrapText="1" readingOrder="1"/>
    </xf>
    <xf numFmtId="0" fontId="42" fillId="0" borderId="18" xfId="0" applyFont="1" applyBorder="1" applyAlignment="1">
      <alignment horizontal="left" vertical="top" wrapText="1" readingOrder="1"/>
    </xf>
    <xf numFmtId="0" fontId="42" fillId="0" borderId="17" xfId="0" applyFont="1" applyBorder="1" applyAlignment="1">
      <alignment horizontal="left" vertical="top" wrapText="1" readingOrder="1"/>
    </xf>
    <xf numFmtId="0" fontId="53" fillId="30" borderId="16" xfId="0" applyFont="1" applyFill="1" applyBorder="1" applyAlignment="1">
      <alignment vertical="top" wrapText="1"/>
    </xf>
    <xf numFmtId="0" fontId="53" fillId="30" borderId="18" xfId="0" applyFont="1" applyFill="1" applyBorder="1" applyAlignment="1">
      <alignment vertical="top" wrapText="1"/>
    </xf>
    <xf numFmtId="0" fontId="53" fillId="30" borderId="17" xfId="0" applyFont="1" applyFill="1" applyBorder="1" applyAlignment="1">
      <alignment vertical="top" wrapText="1"/>
    </xf>
    <xf numFmtId="0" fontId="59" fillId="0" borderId="16" xfId="0" applyFont="1" applyBorder="1" applyAlignment="1">
      <alignment vertical="top"/>
    </xf>
    <xf numFmtId="0" fontId="59" fillId="0" borderId="18" xfId="0" applyFont="1" applyBorder="1" applyAlignment="1">
      <alignment vertical="top"/>
    </xf>
    <xf numFmtId="0" fontId="59" fillId="0" borderId="17" xfId="0" applyFont="1" applyBorder="1" applyAlignment="1">
      <alignment vertical="top"/>
    </xf>
    <xf numFmtId="0" fontId="51" fillId="0" borderId="16" xfId="0" applyFont="1" applyBorder="1" applyAlignment="1">
      <alignment horizontal="left" vertical="top" wrapText="1"/>
    </xf>
    <xf numFmtId="0" fontId="51" fillId="0" borderId="18" xfId="0" applyFont="1" applyBorder="1" applyAlignment="1">
      <alignment horizontal="left" vertical="top" wrapText="1"/>
    </xf>
    <xf numFmtId="0" fontId="51" fillId="0" borderId="17" xfId="0" applyFont="1" applyBorder="1" applyAlignment="1">
      <alignment horizontal="left" vertical="top" wrapText="1"/>
    </xf>
    <xf numFmtId="0" fontId="53" fillId="0" borderId="17" xfId="0" applyFont="1" applyBorder="1" applyAlignment="1">
      <alignment horizontal="left" vertical="top" wrapText="1" readingOrder="1"/>
    </xf>
    <xf numFmtId="0" fontId="56" fillId="0" borderId="16" xfId="0" applyFont="1" applyBorder="1" applyAlignment="1">
      <alignment horizontal="left" vertical="top" wrapText="1"/>
    </xf>
    <xf numFmtId="0" fontId="56" fillId="0" borderId="18" xfId="0" applyFont="1" applyBorder="1" applyAlignment="1">
      <alignment horizontal="left" vertical="top" wrapText="1"/>
    </xf>
    <xf numFmtId="0" fontId="56" fillId="0" borderId="17" xfId="0" applyFont="1" applyBorder="1" applyAlignment="1">
      <alignment horizontal="left" vertical="top" wrapText="1"/>
    </xf>
    <xf numFmtId="0" fontId="53" fillId="27" borderId="16" xfId="0" applyFont="1" applyFill="1" applyBorder="1" applyAlignment="1">
      <alignment horizontal="left" vertical="top"/>
    </xf>
    <xf numFmtId="0" fontId="53" fillId="27" borderId="18" xfId="0" applyFont="1" applyFill="1" applyBorder="1" applyAlignment="1">
      <alignment horizontal="left" vertical="top"/>
    </xf>
    <xf numFmtId="0" fontId="53" fillId="27" borderId="17" xfId="0" applyFont="1" applyFill="1" applyBorder="1" applyAlignment="1">
      <alignment horizontal="left" vertical="top"/>
    </xf>
    <xf numFmtId="0" fontId="53" fillId="27" borderId="16" xfId="0" applyFont="1" applyFill="1" applyBorder="1" applyAlignment="1">
      <alignment horizontal="left" vertical="top" wrapText="1"/>
    </xf>
    <xf numFmtId="0" fontId="53" fillId="27" borderId="18" xfId="0" applyFont="1" applyFill="1" applyBorder="1" applyAlignment="1">
      <alignment horizontal="left" vertical="top" wrapText="1"/>
    </xf>
    <xf numFmtId="0" fontId="53" fillId="27" borderId="17" xfId="0" applyFont="1" applyFill="1" applyBorder="1" applyAlignment="1">
      <alignment horizontal="left" vertical="top" wrapText="1"/>
    </xf>
    <xf numFmtId="0" fontId="53" fillId="28" borderId="16" xfId="0" applyFont="1" applyFill="1" applyBorder="1" applyAlignment="1">
      <alignment horizontal="left" vertical="top" wrapText="1"/>
    </xf>
    <xf numFmtId="0" fontId="53" fillId="28" borderId="18" xfId="0" applyFont="1" applyFill="1" applyBorder="1" applyAlignment="1">
      <alignment horizontal="left" vertical="top" wrapText="1"/>
    </xf>
    <xf numFmtId="0" fontId="53" fillId="28" borderId="17" xfId="0" applyFont="1" applyFill="1" applyBorder="1" applyAlignment="1">
      <alignment horizontal="left" vertical="top" wrapText="1"/>
    </xf>
    <xf numFmtId="0" fontId="53" fillId="26" borderId="16" xfId="0" applyFont="1" applyFill="1" applyBorder="1" applyAlignment="1">
      <alignment horizontal="left" vertical="top" wrapText="1" readingOrder="1"/>
    </xf>
    <xf numFmtId="0" fontId="53" fillId="0" borderId="0" xfId="0" applyFont="1" applyAlignment="1">
      <alignment vertical="top"/>
    </xf>
    <xf numFmtId="0" fontId="42" fillId="26" borderId="11" xfId="0" applyFont="1" applyFill="1" applyBorder="1" applyAlignment="1">
      <alignment horizontal="left" vertical="top" wrapText="1" readingOrder="1"/>
    </xf>
    <xf numFmtId="0" fontId="42" fillId="26" borderId="0" xfId="0" applyFont="1" applyFill="1" applyAlignment="1">
      <alignment horizontal="left" vertical="top" wrapText="1" readingOrder="1"/>
    </xf>
    <xf numFmtId="0" fontId="42" fillId="26" borderId="10" xfId="0" applyFont="1" applyFill="1" applyBorder="1" applyAlignment="1">
      <alignment horizontal="left" vertical="top" wrapText="1" readingOrder="1"/>
    </xf>
    <xf numFmtId="0" fontId="53" fillId="0" borderId="0" xfId="0" applyFont="1" applyAlignment="1">
      <alignment vertical="top" wrapText="1"/>
    </xf>
    <xf numFmtId="0" fontId="55" fillId="26" borderId="0" xfId="0" applyFont="1" applyFill="1" applyAlignment="1">
      <alignment horizontal="left" vertical="top" wrapText="1" readingOrder="1"/>
    </xf>
    <xf numFmtId="0" fontId="42" fillId="0" borderId="11" xfId="0" applyFont="1" applyBorder="1" applyAlignment="1">
      <alignment horizontal="left" vertical="top" wrapText="1" readingOrder="1"/>
    </xf>
    <xf numFmtId="0" fontId="52" fillId="0" borderId="0" xfId="0" applyFont="1" applyAlignment="1">
      <alignment horizontal="left" vertical="top" wrapText="1" readingOrder="1"/>
    </xf>
    <xf numFmtId="0" fontId="52" fillId="0" borderId="10" xfId="0" applyFont="1" applyBorder="1" applyAlignment="1">
      <alignment horizontal="left" vertical="top" wrapText="1" readingOrder="1"/>
    </xf>
  </cellXfs>
  <cellStyles count="213">
    <cellStyle name="20% - Accent1 2" xfId="2" xr:uid="{00000000-0005-0000-0000-000000000000}"/>
    <cellStyle name="20% - Accent1 3" xfId="3" xr:uid="{00000000-0005-0000-0000-000001000000}"/>
    <cellStyle name="20% - Accent1 4" xfId="4" xr:uid="{00000000-0005-0000-0000-000002000000}"/>
    <cellStyle name="20% - Accent1 5" xfId="5" xr:uid="{00000000-0005-0000-0000-000003000000}"/>
    <cellStyle name="20% - Accent2 2" xfId="6" xr:uid="{00000000-0005-0000-0000-000004000000}"/>
    <cellStyle name="20% - Accent2 3" xfId="7" xr:uid="{00000000-0005-0000-0000-000005000000}"/>
    <cellStyle name="20% - Accent2 4" xfId="8" xr:uid="{00000000-0005-0000-0000-000006000000}"/>
    <cellStyle name="20% - Accent2 5" xfId="9" xr:uid="{00000000-0005-0000-0000-000007000000}"/>
    <cellStyle name="20% - Accent3 2" xfId="10" xr:uid="{00000000-0005-0000-0000-000008000000}"/>
    <cellStyle name="20% - Accent3 3" xfId="11" xr:uid="{00000000-0005-0000-0000-000009000000}"/>
    <cellStyle name="20% - Accent3 4" xfId="12" xr:uid="{00000000-0005-0000-0000-00000A000000}"/>
    <cellStyle name="20% - Accent3 5" xfId="13" xr:uid="{00000000-0005-0000-0000-00000B000000}"/>
    <cellStyle name="20% - Accent4 2" xfId="14" xr:uid="{00000000-0005-0000-0000-00000C000000}"/>
    <cellStyle name="20% - Accent4 3" xfId="15" xr:uid="{00000000-0005-0000-0000-00000D000000}"/>
    <cellStyle name="20% - Accent4 4" xfId="16" xr:uid="{00000000-0005-0000-0000-00000E000000}"/>
    <cellStyle name="20% - Accent4 5" xfId="17" xr:uid="{00000000-0005-0000-0000-00000F000000}"/>
    <cellStyle name="20% - Accent5 2" xfId="18" xr:uid="{00000000-0005-0000-0000-000010000000}"/>
    <cellStyle name="20% - Accent5 3" xfId="19" xr:uid="{00000000-0005-0000-0000-000011000000}"/>
    <cellStyle name="20% - Accent5 4" xfId="20" xr:uid="{00000000-0005-0000-0000-000012000000}"/>
    <cellStyle name="20% - Accent5 5" xfId="21" xr:uid="{00000000-0005-0000-0000-000013000000}"/>
    <cellStyle name="20% - Accent6 2" xfId="22" xr:uid="{00000000-0005-0000-0000-000014000000}"/>
    <cellStyle name="20% - Accent6 3" xfId="23" xr:uid="{00000000-0005-0000-0000-000015000000}"/>
    <cellStyle name="20% - Accent6 4" xfId="24" xr:uid="{00000000-0005-0000-0000-000016000000}"/>
    <cellStyle name="20% - Accent6 5" xfId="25" xr:uid="{00000000-0005-0000-0000-000017000000}"/>
    <cellStyle name="40% - Accent1 2" xfId="26" xr:uid="{00000000-0005-0000-0000-000018000000}"/>
    <cellStyle name="40% - Accent1 3" xfId="27" xr:uid="{00000000-0005-0000-0000-000019000000}"/>
    <cellStyle name="40% - Accent1 4" xfId="28" xr:uid="{00000000-0005-0000-0000-00001A000000}"/>
    <cellStyle name="40% - Accent1 5" xfId="29" xr:uid="{00000000-0005-0000-0000-00001B000000}"/>
    <cellStyle name="40% - Accent2 2" xfId="30" xr:uid="{00000000-0005-0000-0000-00001C000000}"/>
    <cellStyle name="40% - Accent2 3" xfId="31" xr:uid="{00000000-0005-0000-0000-00001D000000}"/>
    <cellStyle name="40% - Accent2 4" xfId="32" xr:uid="{00000000-0005-0000-0000-00001E000000}"/>
    <cellStyle name="40% - Accent2 5" xfId="33" xr:uid="{00000000-0005-0000-0000-00001F000000}"/>
    <cellStyle name="40% - Accent3 2" xfId="34" xr:uid="{00000000-0005-0000-0000-000020000000}"/>
    <cellStyle name="40% - Accent3 3" xfId="35" xr:uid="{00000000-0005-0000-0000-000021000000}"/>
    <cellStyle name="40% - Accent3 4" xfId="36" xr:uid="{00000000-0005-0000-0000-000022000000}"/>
    <cellStyle name="40% - Accent3 5" xfId="37" xr:uid="{00000000-0005-0000-0000-000023000000}"/>
    <cellStyle name="40% - Accent4 2" xfId="38" xr:uid="{00000000-0005-0000-0000-000024000000}"/>
    <cellStyle name="40% - Accent4 3" xfId="39" xr:uid="{00000000-0005-0000-0000-000025000000}"/>
    <cellStyle name="40% - Accent4 4" xfId="40" xr:uid="{00000000-0005-0000-0000-000026000000}"/>
    <cellStyle name="40% - Accent4 5" xfId="41" xr:uid="{00000000-0005-0000-0000-000027000000}"/>
    <cellStyle name="40% - Accent5 2" xfId="42" xr:uid="{00000000-0005-0000-0000-000028000000}"/>
    <cellStyle name="40% - Accent5 3" xfId="43" xr:uid="{00000000-0005-0000-0000-000029000000}"/>
    <cellStyle name="40% - Accent5 4" xfId="44" xr:uid="{00000000-0005-0000-0000-00002A000000}"/>
    <cellStyle name="40% - Accent5 5" xfId="45" xr:uid="{00000000-0005-0000-0000-00002B000000}"/>
    <cellStyle name="40% - Accent6 2" xfId="46" xr:uid="{00000000-0005-0000-0000-00002C000000}"/>
    <cellStyle name="40% - Accent6 3" xfId="47" xr:uid="{00000000-0005-0000-0000-00002D000000}"/>
    <cellStyle name="40% - Accent6 4" xfId="48" xr:uid="{00000000-0005-0000-0000-00002E000000}"/>
    <cellStyle name="40% - Accent6 5" xfId="49" xr:uid="{00000000-0005-0000-0000-00002F000000}"/>
    <cellStyle name="60% - Accent1 2" xfId="50" xr:uid="{00000000-0005-0000-0000-000030000000}"/>
    <cellStyle name="60% - Accent1 3" xfId="51" xr:uid="{00000000-0005-0000-0000-000031000000}"/>
    <cellStyle name="60% - Accent1 4" xfId="52" xr:uid="{00000000-0005-0000-0000-000032000000}"/>
    <cellStyle name="60% - Accent1 5" xfId="53" xr:uid="{00000000-0005-0000-0000-000033000000}"/>
    <cellStyle name="60% - Accent2 2" xfId="54" xr:uid="{00000000-0005-0000-0000-000034000000}"/>
    <cellStyle name="60% - Accent2 3" xfId="55" xr:uid="{00000000-0005-0000-0000-000035000000}"/>
    <cellStyle name="60% - Accent2 4" xfId="56" xr:uid="{00000000-0005-0000-0000-000036000000}"/>
    <cellStyle name="60% - Accent2 5" xfId="57" xr:uid="{00000000-0005-0000-0000-000037000000}"/>
    <cellStyle name="60% - Accent3 2" xfId="58" xr:uid="{00000000-0005-0000-0000-000038000000}"/>
    <cellStyle name="60% - Accent3 3" xfId="59" xr:uid="{00000000-0005-0000-0000-000039000000}"/>
    <cellStyle name="60% - Accent3 4" xfId="60" xr:uid="{00000000-0005-0000-0000-00003A000000}"/>
    <cellStyle name="60% - Accent3 5" xfId="61" xr:uid="{00000000-0005-0000-0000-00003B000000}"/>
    <cellStyle name="60% - Accent4 2" xfId="62" xr:uid="{00000000-0005-0000-0000-00003C000000}"/>
    <cellStyle name="60% - Accent4 3" xfId="63" xr:uid="{00000000-0005-0000-0000-00003D000000}"/>
    <cellStyle name="60% - Accent4 4" xfId="64" xr:uid="{00000000-0005-0000-0000-00003E000000}"/>
    <cellStyle name="60% - Accent4 5" xfId="65" xr:uid="{00000000-0005-0000-0000-00003F000000}"/>
    <cellStyle name="60% - Accent5 2" xfId="66" xr:uid="{00000000-0005-0000-0000-000040000000}"/>
    <cellStyle name="60% - Accent5 3" xfId="67" xr:uid="{00000000-0005-0000-0000-000041000000}"/>
    <cellStyle name="60% - Accent5 4" xfId="68" xr:uid="{00000000-0005-0000-0000-000042000000}"/>
    <cellStyle name="60% - Accent5 5" xfId="69" xr:uid="{00000000-0005-0000-0000-000043000000}"/>
    <cellStyle name="60% - Accent6 2" xfId="70" xr:uid="{00000000-0005-0000-0000-000044000000}"/>
    <cellStyle name="60% - Accent6 3" xfId="71" xr:uid="{00000000-0005-0000-0000-000045000000}"/>
    <cellStyle name="60% - Accent6 4" xfId="72" xr:uid="{00000000-0005-0000-0000-000046000000}"/>
    <cellStyle name="60% - Accent6 5" xfId="73" xr:uid="{00000000-0005-0000-0000-000047000000}"/>
    <cellStyle name="Accent1 2" xfId="74" xr:uid="{00000000-0005-0000-0000-000048000000}"/>
    <cellStyle name="Accent1 3" xfId="75" xr:uid="{00000000-0005-0000-0000-000049000000}"/>
    <cellStyle name="Accent1 4" xfId="76" xr:uid="{00000000-0005-0000-0000-00004A000000}"/>
    <cellStyle name="Accent1 5" xfId="77" xr:uid="{00000000-0005-0000-0000-00004B000000}"/>
    <cellStyle name="Accent2 2" xfId="78" xr:uid="{00000000-0005-0000-0000-00004C000000}"/>
    <cellStyle name="Accent2 3" xfId="79" xr:uid="{00000000-0005-0000-0000-00004D000000}"/>
    <cellStyle name="Accent2 4" xfId="80" xr:uid="{00000000-0005-0000-0000-00004E000000}"/>
    <cellStyle name="Accent2 5" xfId="81" xr:uid="{00000000-0005-0000-0000-00004F000000}"/>
    <cellStyle name="Accent3 2" xfId="82" xr:uid="{00000000-0005-0000-0000-000050000000}"/>
    <cellStyle name="Accent3 3" xfId="83" xr:uid="{00000000-0005-0000-0000-000051000000}"/>
    <cellStyle name="Accent3 4" xfId="84" xr:uid="{00000000-0005-0000-0000-000052000000}"/>
    <cellStyle name="Accent3 5" xfId="85" xr:uid="{00000000-0005-0000-0000-000053000000}"/>
    <cellStyle name="Accent4 2" xfId="86" xr:uid="{00000000-0005-0000-0000-000054000000}"/>
    <cellStyle name="Accent4 3" xfId="87" xr:uid="{00000000-0005-0000-0000-000055000000}"/>
    <cellStyle name="Accent4 4" xfId="88" xr:uid="{00000000-0005-0000-0000-000056000000}"/>
    <cellStyle name="Accent4 5" xfId="89" xr:uid="{00000000-0005-0000-0000-000057000000}"/>
    <cellStyle name="Accent5 2" xfId="90" xr:uid="{00000000-0005-0000-0000-000058000000}"/>
    <cellStyle name="Accent5 3" xfId="91" xr:uid="{00000000-0005-0000-0000-000059000000}"/>
    <cellStyle name="Accent5 4" xfId="92" xr:uid="{00000000-0005-0000-0000-00005A000000}"/>
    <cellStyle name="Accent5 5" xfId="93" xr:uid="{00000000-0005-0000-0000-00005B000000}"/>
    <cellStyle name="Accent6 2" xfId="94" xr:uid="{00000000-0005-0000-0000-00005C000000}"/>
    <cellStyle name="Accent6 3" xfId="95" xr:uid="{00000000-0005-0000-0000-00005D000000}"/>
    <cellStyle name="Accent6 4" xfId="96" xr:uid="{00000000-0005-0000-0000-00005E000000}"/>
    <cellStyle name="Accent6 5" xfId="97" xr:uid="{00000000-0005-0000-0000-00005F000000}"/>
    <cellStyle name="Bad 2" xfId="98" xr:uid="{00000000-0005-0000-0000-000061000000}"/>
    <cellStyle name="Bad 3" xfId="99" xr:uid="{00000000-0005-0000-0000-000062000000}"/>
    <cellStyle name="Bad 4" xfId="100" xr:uid="{00000000-0005-0000-0000-000063000000}"/>
    <cellStyle name="Bad 5" xfId="101" xr:uid="{00000000-0005-0000-0000-000064000000}"/>
    <cellStyle name="Calculation 2" xfId="102" xr:uid="{00000000-0005-0000-0000-000065000000}"/>
    <cellStyle name="Calculation 3" xfId="103" xr:uid="{00000000-0005-0000-0000-000066000000}"/>
    <cellStyle name="Calculation 4" xfId="104" xr:uid="{00000000-0005-0000-0000-000067000000}"/>
    <cellStyle name="Calculation 5" xfId="105" xr:uid="{00000000-0005-0000-0000-000068000000}"/>
    <cellStyle name="Check Cell 2" xfId="106" xr:uid="{00000000-0005-0000-0000-000069000000}"/>
    <cellStyle name="Check Cell 3" xfId="107" xr:uid="{00000000-0005-0000-0000-00006A000000}"/>
    <cellStyle name="Check Cell 4" xfId="108" xr:uid="{00000000-0005-0000-0000-00006B000000}"/>
    <cellStyle name="Check Cell 5" xfId="109" xr:uid="{00000000-0005-0000-0000-00006C000000}"/>
    <cellStyle name="Comma 2" xfId="180" xr:uid="{00000000-0005-0000-0000-00006D000000}"/>
    <cellStyle name="Comma 2 2" xfId="206" xr:uid="{00000000-0005-0000-0000-00006D000000}"/>
    <cellStyle name="Comma 3" xfId="195" xr:uid="{00000000-0005-0000-0000-00006E000000}"/>
    <cellStyle name="Comma 3 2" xfId="208" xr:uid="{00000000-0005-0000-0000-00006E000000}"/>
    <cellStyle name="Explanatory Text 2" xfId="110" xr:uid="{00000000-0005-0000-0000-00006F000000}"/>
    <cellStyle name="Explanatory Text 3" xfId="111" xr:uid="{00000000-0005-0000-0000-000070000000}"/>
    <cellStyle name="Explanatory Text 4" xfId="112" xr:uid="{00000000-0005-0000-0000-000071000000}"/>
    <cellStyle name="Explanatory Text 5" xfId="113" xr:uid="{00000000-0005-0000-0000-000072000000}"/>
    <cellStyle name="Followed Hyperlink 2" xfId="196" xr:uid="{00000000-0005-0000-0000-000073000000}"/>
    <cellStyle name="Good 2" xfId="114" xr:uid="{00000000-0005-0000-0000-000074000000}"/>
    <cellStyle name="Good 3" xfId="115" xr:uid="{00000000-0005-0000-0000-000075000000}"/>
    <cellStyle name="Good 4" xfId="116" xr:uid="{00000000-0005-0000-0000-000076000000}"/>
    <cellStyle name="Good 5" xfId="117" xr:uid="{00000000-0005-0000-0000-000077000000}"/>
    <cellStyle name="Heading 1 2" xfId="118" xr:uid="{00000000-0005-0000-0000-000078000000}"/>
    <cellStyle name="Heading 1 3" xfId="119" xr:uid="{00000000-0005-0000-0000-000079000000}"/>
    <cellStyle name="Heading 1 4" xfId="120" xr:uid="{00000000-0005-0000-0000-00007A000000}"/>
    <cellStyle name="Heading 1 5" xfId="121" xr:uid="{00000000-0005-0000-0000-00007B000000}"/>
    <cellStyle name="Heading 2 2" xfId="122" xr:uid="{00000000-0005-0000-0000-00007C000000}"/>
    <cellStyle name="Heading 2 3" xfId="123" xr:uid="{00000000-0005-0000-0000-00007D000000}"/>
    <cellStyle name="Heading 2 4" xfId="124" xr:uid="{00000000-0005-0000-0000-00007E000000}"/>
    <cellStyle name="Heading 2 5" xfId="125" xr:uid="{00000000-0005-0000-0000-00007F000000}"/>
    <cellStyle name="Heading 3 2" xfId="126" xr:uid="{00000000-0005-0000-0000-000080000000}"/>
    <cellStyle name="Heading 3 3" xfId="127" xr:uid="{00000000-0005-0000-0000-000081000000}"/>
    <cellStyle name="Heading 3 4" xfId="128" xr:uid="{00000000-0005-0000-0000-000082000000}"/>
    <cellStyle name="Heading 3 5" xfId="129" xr:uid="{00000000-0005-0000-0000-000083000000}"/>
    <cellStyle name="Heading 4 2" xfId="130" xr:uid="{00000000-0005-0000-0000-000084000000}"/>
    <cellStyle name="Heading 4 3" xfId="131" xr:uid="{00000000-0005-0000-0000-000085000000}"/>
    <cellStyle name="Heading 4 4" xfId="132" xr:uid="{00000000-0005-0000-0000-000086000000}"/>
    <cellStyle name="Heading 4 5" xfId="133" xr:uid="{00000000-0005-0000-0000-000087000000}"/>
    <cellStyle name="Hide" xfId="181" xr:uid="{00000000-0005-0000-0000-000088000000}"/>
    <cellStyle name="Hyperlink" xfId="205" builtinId="8" customBuiltin="1"/>
    <cellStyle name="Hyperlink 2" xfId="134" xr:uid="{00000000-0005-0000-0000-00008A000000}"/>
    <cellStyle name="Hyperlink 2 2" xfId="182" xr:uid="{00000000-0005-0000-0000-00008B000000}"/>
    <cellStyle name="Hyperlink 3" xfId="135" xr:uid="{00000000-0005-0000-0000-00008C000000}"/>
    <cellStyle name="Hyperlink 3 2" xfId="184" xr:uid="{00000000-0005-0000-0000-00008D000000}"/>
    <cellStyle name="Hyperlink 3 3" xfId="185" xr:uid="{00000000-0005-0000-0000-00008E000000}"/>
    <cellStyle name="Hyperlink 3 4" xfId="183" xr:uid="{00000000-0005-0000-0000-00008F000000}"/>
    <cellStyle name="Input 2" xfId="136" xr:uid="{00000000-0005-0000-0000-000090000000}"/>
    <cellStyle name="Input 3" xfId="137" xr:uid="{00000000-0005-0000-0000-000091000000}"/>
    <cellStyle name="Input 4" xfId="138" xr:uid="{00000000-0005-0000-0000-000092000000}"/>
    <cellStyle name="Input 5" xfId="139" xr:uid="{00000000-0005-0000-0000-000093000000}"/>
    <cellStyle name="Linked Cell 2" xfId="140" xr:uid="{00000000-0005-0000-0000-000094000000}"/>
    <cellStyle name="Linked Cell 3" xfId="141" xr:uid="{00000000-0005-0000-0000-000095000000}"/>
    <cellStyle name="Linked Cell 4" xfId="142" xr:uid="{00000000-0005-0000-0000-000096000000}"/>
    <cellStyle name="Linked Cell 5" xfId="143" xr:uid="{00000000-0005-0000-0000-000097000000}"/>
    <cellStyle name="Neutral 2" xfId="144" xr:uid="{00000000-0005-0000-0000-000098000000}"/>
    <cellStyle name="Neutral 3" xfId="145" xr:uid="{00000000-0005-0000-0000-000099000000}"/>
    <cellStyle name="Neutral 4" xfId="146" xr:uid="{00000000-0005-0000-0000-00009A000000}"/>
    <cellStyle name="Neutral 5" xfId="147" xr:uid="{00000000-0005-0000-0000-00009B000000}"/>
    <cellStyle name="Normal" xfId="0" builtinId="0"/>
    <cellStyle name="Normal 2" xfId="1" xr:uid="{00000000-0005-0000-0000-00009D000000}"/>
    <cellStyle name="Normal 2 2" xfId="148" xr:uid="{00000000-0005-0000-0000-00009E000000}"/>
    <cellStyle name="Normal 2 2 2" xfId="186" xr:uid="{00000000-0005-0000-0000-00009F000000}"/>
    <cellStyle name="Normal 2 2 3" xfId="187" xr:uid="{00000000-0005-0000-0000-0000A0000000}"/>
    <cellStyle name="Normal 2 3" xfId="149" xr:uid="{00000000-0005-0000-0000-0000A1000000}"/>
    <cellStyle name="Normal 2 3 2" xfId="188" xr:uid="{00000000-0005-0000-0000-0000A2000000}"/>
    <cellStyle name="Normal 2 3 4" xfId="212" xr:uid="{25A8D33C-F3F3-4103-BB44-554853049AD7}"/>
    <cellStyle name="Normal 2 4" xfId="150" xr:uid="{00000000-0005-0000-0000-0000A3000000}"/>
    <cellStyle name="Normal 2 4 2" xfId="189" xr:uid="{00000000-0005-0000-0000-0000A4000000}"/>
    <cellStyle name="Normal 2 5" xfId="197" xr:uid="{00000000-0005-0000-0000-0000A5000000}"/>
    <cellStyle name="Normal 3" xfId="179" xr:uid="{00000000-0005-0000-0000-0000A6000000}"/>
    <cellStyle name="Normal 3 2" xfId="198" xr:uid="{00000000-0005-0000-0000-0000A7000000}"/>
    <cellStyle name="Normal 3 2 2" xfId="209" xr:uid="{00000000-0005-0000-0000-0000A7000000}"/>
    <cellStyle name="Normal 4" xfId="190" xr:uid="{00000000-0005-0000-0000-0000A8000000}"/>
    <cellStyle name="Normal 5" xfId="151" xr:uid="{00000000-0005-0000-0000-0000A9000000}"/>
    <cellStyle name="Normal 5 2" xfId="152" xr:uid="{00000000-0005-0000-0000-0000AA000000}"/>
    <cellStyle name="Normal 6" xfId="194" xr:uid="{00000000-0005-0000-0000-0000AB000000}"/>
    <cellStyle name="Normal 6 2" xfId="207" xr:uid="{00000000-0005-0000-0000-0000AB000000}"/>
    <cellStyle name="Normal 8" xfId="191" xr:uid="{00000000-0005-0000-0000-0000AC000000}"/>
    <cellStyle name="Note 2" xfId="153" xr:uid="{00000000-0005-0000-0000-0000AD000000}"/>
    <cellStyle name="Note 2 2" xfId="154" xr:uid="{00000000-0005-0000-0000-0000AE000000}"/>
    <cellStyle name="Note 2 3" xfId="155" xr:uid="{00000000-0005-0000-0000-0000AF000000}"/>
    <cellStyle name="Note 2 4" xfId="156" xr:uid="{00000000-0005-0000-0000-0000B0000000}"/>
    <cellStyle name="Note 2 5" xfId="192" xr:uid="{00000000-0005-0000-0000-0000B1000000}"/>
    <cellStyle name="Note 3" xfId="157" xr:uid="{00000000-0005-0000-0000-0000B2000000}"/>
    <cellStyle name="Note 3 2" xfId="199" xr:uid="{00000000-0005-0000-0000-0000B3000000}"/>
    <cellStyle name="Note 4" xfId="158" xr:uid="{00000000-0005-0000-0000-0000B4000000}"/>
    <cellStyle name="Note 5" xfId="159" xr:uid="{00000000-0005-0000-0000-0000B5000000}"/>
    <cellStyle name="Output 2" xfId="160" xr:uid="{00000000-0005-0000-0000-0000B6000000}"/>
    <cellStyle name="Output 3" xfId="161" xr:uid="{00000000-0005-0000-0000-0000B7000000}"/>
    <cellStyle name="Output 4" xfId="162" xr:uid="{00000000-0005-0000-0000-0000B8000000}"/>
    <cellStyle name="Output 5" xfId="163" xr:uid="{00000000-0005-0000-0000-0000B9000000}"/>
    <cellStyle name="Percent 2" xfId="193" xr:uid="{00000000-0005-0000-0000-0000BA000000}"/>
    <cellStyle name="Percent 2 2" xfId="164" xr:uid="{00000000-0005-0000-0000-0000BB000000}"/>
    <cellStyle name="Percent 2 3" xfId="165" xr:uid="{00000000-0005-0000-0000-0000BC000000}"/>
    <cellStyle name="Percent 2 4" xfId="166" xr:uid="{00000000-0005-0000-0000-0000BD000000}"/>
    <cellStyle name="Percent 3" xfId="200" xr:uid="{00000000-0005-0000-0000-0000BE000000}"/>
    <cellStyle name="Percent 3 2" xfId="201" xr:uid="{00000000-0005-0000-0000-0000BF000000}"/>
    <cellStyle name="Percent 3 2 2" xfId="202" xr:uid="{00000000-0005-0000-0000-0000C0000000}"/>
    <cellStyle name="Percent 3 2 2 2" xfId="211" xr:uid="{00000000-0005-0000-0000-0000C0000000}"/>
    <cellStyle name="Percent 3 3" xfId="210" xr:uid="{00000000-0005-0000-0000-0000BE000000}"/>
    <cellStyle name="Percent 4" xfId="203" xr:uid="{00000000-0005-0000-0000-0000C1000000}"/>
    <cellStyle name="Percent 5" xfId="204" xr:uid="{00000000-0005-0000-0000-0000C2000000}"/>
    <cellStyle name="Title 2" xfId="167" xr:uid="{00000000-0005-0000-0000-0000C3000000}"/>
    <cellStyle name="Title 3" xfId="168" xr:uid="{00000000-0005-0000-0000-0000C4000000}"/>
    <cellStyle name="Title 4" xfId="169" xr:uid="{00000000-0005-0000-0000-0000C5000000}"/>
    <cellStyle name="Title 5" xfId="170" xr:uid="{00000000-0005-0000-0000-0000C6000000}"/>
    <cellStyle name="Total 2" xfId="171" xr:uid="{00000000-0005-0000-0000-0000C7000000}"/>
    <cellStyle name="Total 3" xfId="172" xr:uid="{00000000-0005-0000-0000-0000C8000000}"/>
    <cellStyle name="Total 4" xfId="173" xr:uid="{00000000-0005-0000-0000-0000C9000000}"/>
    <cellStyle name="Total 5" xfId="174" xr:uid="{00000000-0005-0000-0000-0000CA000000}"/>
    <cellStyle name="Warning Text 2" xfId="175" xr:uid="{00000000-0005-0000-0000-0000CB000000}"/>
    <cellStyle name="Warning Text 3" xfId="176" xr:uid="{00000000-0005-0000-0000-0000CC000000}"/>
    <cellStyle name="Warning Text 4" xfId="177" xr:uid="{00000000-0005-0000-0000-0000CD000000}"/>
    <cellStyle name="Warning Text 5" xfId="178" xr:uid="{00000000-0005-0000-0000-0000CE000000}"/>
  </cellStyles>
  <dxfs count="7">
    <dxf>
      <fill>
        <patternFill patternType="solid">
          <fgColor theme="0" tint="-0.14999847407452621"/>
          <bgColor theme="0" tint="-0.14999847407452621"/>
        </patternFill>
      </fill>
    </dxf>
    <dxf>
      <fill>
        <patternFill patternType="solid">
          <fgColor theme="0" tint="-0.14996795556505021"/>
          <bgColor theme="0" tint="-4.9989318521683403E-2"/>
        </patternFill>
      </fill>
    </dxf>
    <dxf>
      <font>
        <b/>
        <color theme="1"/>
      </font>
    </dxf>
    <dxf>
      <font>
        <b/>
        <color theme="1"/>
      </font>
    </dxf>
    <dxf>
      <font>
        <b/>
        <color theme="1"/>
      </font>
      <border>
        <top style="thin">
          <color theme="1"/>
        </top>
      </border>
    </dxf>
    <dxf>
      <font>
        <b/>
        <color theme="1"/>
      </font>
      <border>
        <bottom style="medium">
          <color theme="1"/>
        </bottom>
      </border>
    </dxf>
    <dxf>
      <font>
        <color theme="1"/>
      </font>
      <border diagonalUp="0" diagonalDown="0">
        <left/>
        <right/>
        <top/>
        <bottom style="medium">
          <color auto="1"/>
        </bottom>
        <vertical/>
        <horizontal/>
      </border>
    </dxf>
  </dxfs>
  <tableStyles count="1" defaultTableStyle="TableStyleMedium2" defaultPivotStyle="PivotStyleLight16">
    <tableStyle name="TableStyleLight1 2" pivot="0" count="7" xr9:uid="{00000000-0011-0000-FFFF-FFFF00000000}">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colors>
    <mruColors>
      <color rgb="FFCED1D5"/>
      <color rgb="FF424D58"/>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205740</xdr:colOff>
      <xdr:row>39</xdr:row>
      <xdr:rowOff>95250</xdr:rowOff>
    </xdr:from>
    <xdr:to>
      <xdr:col>2</xdr:col>
      <xdr:colOff>281940</xdr:colOff>
      <xdr:row>39</xdr:row>
      <xdr:rowOff>419100</xdr:rowOff>
    </xdr:to>
    <xdr:pic>
      <xdr:nvPicPr>
        <xdr:cNvPr id="12"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205740" y="7648575"/>
          <a:ext cx="781050"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201930</xdr:colOff>
      <xdr:row>0</xdr:row>
      <xdr:rowOff>0</xdr:rowOff>
    </xdr:from>
    <xdr:to>
      <xdr:col>16</xdr:col>
      <xdr:colOff>383451</xdr:colOff>
      <xdr:row>6</xdr:row>
      <xdr:rowOff>276518</xdr:rowOff>
    </xdr:to>
    <xdr:pic>
      <xdr:nvPicPr>
        <xdr:cNvPr id="2" name="Picture 1" descr="NHS England logo">
          <a:extLst>
            <a:ext uri="{FF2B5EF4-FFF2-40B4-BE49-F238E27FC236}">
              <a16:creationId xmlns:a16="http://schemas.microsoft.com/office/drawing/2014/main" id="{9DAA22D4-6F33-4AE6-B7FD-4FE03427492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0267950" y="0"/>
          <a:ext cx="1629321" cy="13680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170180</xdr:colOff>
      <xdr:row>0</xdr:row>
      <xdr:rowOff>30480</xdr:rowOff>
    </xdr:from>
    <xdr:to>
      <xdr:col>14</xdr:col>
      <xdr:colOff>593636</xdr:colOff>
      <xdr:row>7</xdr:row>
      <xdr:rowOff>116498</xdr:rowOff>
    </xdr:to>
    <xdr:pic>
      <xdr:nvPicPr>
        <xdr:cNvPr id="3" name="Picture 2" descr="NHS England logo">
          <a:extLst>
            <a:ext uri="{FF2B5EF4-FFF2-40B4-BE49-F238E27FC236}">
              <a16:creationId xmlns:a16="http://schemas.microsoft.com/office/drawing/2014/main" id="{FE25C1C3-316D-4F52-BF15-FA262CF5B4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8430260" y="30480"/>
          <a:ext cx="1648371" cy="140427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254000</xdr:colOff>
      <xdr:row>0</xdr:row>
      <xdr:rowOff>0</xdr:rowOff>
    </xdr:from>
    <xdr:to>
      <xdr:col>17</xdr:col>
      <xdr:colOff>73571</xdr:colOff>
      <xdr:row>7</xdr:row>
      <xdr:rowOff>11723</xdr:rowOff>
    </xdr:to>
    <xdr:pic>
      <xdr:nvPicPr>
        <xdr:cNvPr id="2" name="Picture 1" descr="NHS England logo">
          <a:extLst>
            <a:ext uri="{FF2B5EF4-FFF2-40B4-BE49-F238E27FC236}">
              <a16:creationId xmlns:a16="http://schemas.microsoft.com/office/drawing/2014/main" id="{20D5B55C-690D-49AF-AD4A-FCB71BC815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8674100" y="0"/>
          <a:ext cx="1648371" cy="134204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69</xdr:row>
      <xdr:rowOff>0</xdr:rowOff>
    </xdr:from>
    <xdr:to>
      <xdr:col>12</xdr:col>
      <xdr:colOff>683560</xdr:colOff>
      <xdr:row>275</xdr:row>
      <xdr:rowOff>46017</xdr:rowOff>
    </xdr:to>
    <xdr:sp macro="" textlink="">
      <xdr:nvSpPr>
        <xdr:cNvPr id="2" name="Object 3" hidden="1">
          <a:extLst>
            <a:ext uri="{63B3BB69-23CF-44E3-9099-C40C66FF867C}">
              <a14:compatExt xmlns:a14="http://schemas.microsoft.com/office/drawing/2010/main" spid="_x0000_s17411"/>
            </a:ext>
            <a:ext uri="{FF2B5EF4-FFF2-40B4-BE49-F238E27FC236}">
              <a16:creationId xmlns:a16="http://schemas.microsoft.com/office/drawing/2014/main" id="{00000000-0008-0000-0400-000002000000}"/>
            </a:ext>
          </a:extLst>
        </xdr:cNvPr>
        <xdr:cNvSpPr/>
      </xdr:nvSpPr>
      <xdr:spPr bwMode="auto">
        <a:xfrm>
          <a:off x="18735675" y="155752800"/>
          <a:ext cx="2705100" cy="76263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8</xdr:col>
      <xdr:colOff>5490882</xdr:colOff>
      <xdr:row>0</xdr:row>
      <xdr:rowOff>0</xdr:rowOff>
    </xdr:from>
    <xdr:to>
      <xdr:col>9</xdr:col>
      <xdr:colOff>173005</xdr:colOff>
      <xdr:row>5</xdr:row>
      <xdr:rowOff>97000</xdr:rowOff>
    </xdr:to>
    <xdr:pic>
      <xdr:nvPicPr>
        <xdr:cNvPr id="3" name="Picture 2" descr="NHS England logo">
          <a:extLst>
            <a:ext uri="{FF2B5EF4-FFF2-40B4-BE49-F238E27FC236}">
              <a16:creationId xmlns:a16="http://schemas.microsoft.com/office/drawing/2014/main" id="{A35C5D22-937A-4538-8740-06A0995DFD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9330147" y="0"/>
          <a:ext cx="1648371" cy="141189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1183640</xdr:colOff>
      <xdr:row>0</xdr:row>
      <xdr:rowOff>0</xdr:rowOff>
    </xdr:from>
    <xdr:to>
      <xdr:col>5</xdr:col>
      <xdr:colOff>1181</xdr:colOff>
      <xdr:row>6</xdr:row>
      <xdr:rowOff>206033</xdr:rowOff>
    </xdr:to>
    <xdr:pic>
      <xdr:nvPicPr>
        <xdr:cNvPr id="2" name="Picture 1" descr="NHS England logo">
          <a:extLst>
            <a:ext uri="{FF2B5EF4-FFF2-40B4-BE49-F238E27FC236}">
              <a16:creationId xmlns:a16="http://schemas.microsoft.com/office/drawing/2014/main" id="{519A9DB2-DE26-4675-BBA0-3F14159541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9672320" y="0"/>
          <a:ext cx="1642656" cy="134522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7735208</xdr:colOff>
      <xdr:row>0</xdr:row>
      <xdr:rowOff>108858</xdr:rowOff>
    </xdr:from>
    <xdr:to>
      <xdr:col>5</xdr:col>
      <xdr:colOff>9601200</xdr:colOff>
      <xdr:row>6</xdr:row>
      <xdr:rowOff>162198</xdr:rowOff>
    </xdr:to>
    <xdr:pic>
      <xdr:nvPicPr>
        <xdr:cNvPr id="2" name="Picture 1" descr="NHS England logo">
          <a:extLst>
            <a:ext uri="{FF2B5EF4-FFF2-40B4-BE49-F238E27FC236}">
              <a16:creationId xmlns:a16="http://schemas.microsoft.com/office/drawing/2014/main" id="{36A2EC0C-A1C1-4505-A2F4-1984BB8638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0634779" y="108858"/>
          <a:ext cx="1865992" cy="146276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2203087</xdr:colOff>
      <xdr:row>0</xdr:row>
      <xdr:rowOff>0</xdr:rowOff>
    </xdr:from>
    <xdr:to>
      <xdr:col>5</xdr:col>
      <xdr:colOff>3831048</xdr:colOff>
      <xdr:row>5</xdr:row>
      <xdr:rowOff>396533</xdr:rowOff>
    </xdr:to>
    <xdr:pic>
      <xdr:nvPicPr>
        <xdr:cNvPr id="2" name="Picture 1" descr="NHS England logo">
          <a:extLst>
            <a:ext uri="{FF2B5EF4-FFF2-40B4-BE49-F238E27FC236}">
              <a16:creationId xmlns:a16="http://schemas.microsoft.com/office/drawing/2014/main" id="{CC4F7327-BBB0-4278-8728-312FCF3E56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1850007" y="0"/>
          <a:ext cx="1624151" cy="134522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714375</xdr:colOff>
      <xdr:row>0</xdr:row>
      <xdr:rowOff>0</xdr:rowOff>
    </xdr:from>
    <xdr:to>
      <xdr:col>5</xdr:col>
      <xdr:colOff>400596</xdr:colOff>
      <xdr:row>7</xdr:row>
      <xdr:rowOff>19343</xdr:rowOff>
    </xdr:to>
    <xdr:pic>
      <xdr:nvPicPr>
        <xdr:cNvPr id="2" name="Picture 1" descr="NHS England logo">
          <a:extLst>
            <a:ext uri="{FF2B5EF4-FFF2-40B4-BE49-F238E27FC236}">
              <a16:creationId xmlns:a16="http://schemas.microsoft.com/office/drawing/2014/main" id="{6540ED48-3B97-47FF-B5B5-B7DF3A2FBE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9715500" y="0"/>
          <a:ext cx="1562646" cy="134522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647700</xdr:colOff>
      <xdr:row>0</xdr:row>
      <xdr:rowOff>0</xdr:rowOff>
    </xdr:from>
    <xdr:to>
      <xdr:col>10</xdr:col>
      <xdr:colOff>362496</xdr:colOff>
      <xdr:row>5</xdr:row>
      <xdr:rowOff>192698</xdr:rowOff>
    </xdr:to>
    <xdr:pic>
      <xdr:nvPicPr>
        <xdr:cNvPr id="3" name="Picture 2" descr="NHS England logo">
          <a:extLst>
            <a:ext uri="{FF2B5EF4-FFF2-40B4-BE49-F238E27FC236}">
              <a16:creationId xmlns:a16="http://schemas.microsoft.com/office/drawing/2014/main" id="{A4A3C014-9764-4A15-B0D9-A581D6ABAF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286625" y="0"/>
          <a:ext cx="1562646" cy="134522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320040</xdr:colOff>
      <xdr:row>0</xdr:row>
      <xdr:rowOff>0</xdr:rowOff>
    </xdr:from>
    <xdr:to>
      <xdr:col>11</xdr:col>
      <xdr:colOff>111036</xdr:colOff>
      <xdr:row>7</xdr:row>
      <xdr:rowOff>93638</xdr:rowOff>
    </xdr:to>
    <xdr:pic>
      <xdr:nvPicPr>
        <xdr:cNvPr id="3" name="Picture 2" descr="NHS England logo">
          <a:extLst>
            <a:ext uri="{FF2B5EF4-FFF2-40B4-BE49-F238E27FC236}">
              <a16:creationId xmlns:a16="http://schemas.microsoft.com/office/drawing/2014/main" id="{9E38A346-44E6-44C0-917B-9998B6DD56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762500" y="0"/>
          <a:ext cx="1619796" cy="132045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1448640</xdr:colOff>
      <xdr:row>0</xdr:row>
      <xdr:rowOff>131762</xdr:rowOff>
    </xdr:from>
    <xdr:to>
      <xdr:col>4</xdr:col>
      <xdr:colOff>2723402</xdr:colOff>
      <xdr:row>5</xdr:row>
      <xdr:rowOff>131762</xdr:rowOff>
    </xdr:to>
    <xdr:pic>
      <xdr:nvPicPr>
        <xdr:cNvPr id="4" name="Picture 3">
          <a:extLst>
            <a:ext uri="{FF2B5EF4-FFF2-40B4-BE49-F238E27FC236}">
              <a16:creationId xmlns:a16="http://schemas.microsoft.com/office/drawing/2014/main" id="{00000000-0008-0000-0500-000004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40065" y="131762"/>
          <a:ext cx="1270000" cy="9525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14</xdr:col>
      <xdr:colOff>254000</xdr:colOff>
      <xdr:row>0</xdr:row>
      <xdr:rowOff>0</xdr:rowOff>
    </xdr:from>
    <xdr:to>
      <xdr:col>17</xdr:col>
      <xdr:colOff>73571</xdr:colOff>
      <xdr:row>5</xdr:row>
      <xdr:rowOff>78398</xdr:rowOff>
    </xdr:to>
    <xdr:pic>
      <xdr:nvPicPr>
        <xdr:cNvPr id="2" name="Picture 1" descr="NHS England logo">
          <a:extLst>
            <a:ext uri="{FF2B5EF4-FFF2-40B4-BE49-F238E27FC236}">
              <a16:creationId xmlns:a16="http://schemas.microsoft.com/office/drawing/2014/main" id="{9FB73777-45C2-4507-BC8C-619BC64E6B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9655175" y="0"/>
          <a:ext cx="1648371" cy="141189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c.green.net\ic_data_dfs\SC\PSS%20EX1\1.%20Guidance%20and%20Forms\2009-10\PSS-EX1_2009-10_ProForma_v1.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c.green.net\ic_data_dfs\SC\Abuse%20Vulnerable%20Adults\1.%20Guidance%20and%20Forms\2010-11\Proformas\AVA_Proformas_2010-11_v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hscic365.sharepoint.com/MHMDSDevelopmentAndTestingSharedTeamSite/IC%20Documents/IC%20Loading%20and%20Processing/CYPHS/DME_Data_Asset_Data_Quality_CYPH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c.green.net\ic_data_dfs\SC\PSS%20EX1\4.%20Working%20Tables\2009-10\1st%20Cut%20Created%20Tables\PSS%20EX1%202005-06_v1.2_DataExtractor_200608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digital.nhs.uk/media/12516/CYPHS-Data-Set-Technical-Output-Specification/xls/CYPHS_Data_Set_Technical_Output_Specification.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uncils"/>
      <sheetName val="Cover"/>
      <sheetName val="Blank Checker"/>
      <sheetName val="Activity data"/>
      <sheetName val="Incl SSMSS"/>
      <sheetName val="Unit costs"/>
      <sheetName val="Unit costs summary"/>
      <sheetName val="Grants &amp; Comments"/>
      <sheetName val="Memo item ratios"/>
      <sheetName val="Memo cost calculations "/>
      <sheetName val="Memo Comments"/>
    </sheetNames>
    <sheetDataSet>
      <sheetData sheetId="0" refreshError="1">
        <row r="162">
          <cell r="C162" t="str">
            <v>Y</v>
          </cell>
        </row>
        <row r="163">
          <cell r="C163" t="str">
            <v>A</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List of Returns"/>
      <sheetName val="Table 1"/>
      <sheetName val="Table 2"/>
      <sheetName val="Table 3"/>
      <sheetName val="Tables 4a &amp; 4b"/>
      <sheetName val="Tables 5a &amp; 5b"/>
      <sheetName val="Tables 6a &amp; 6b"/>
      <sheetName val="Tables 7a &amp; 7b"/>
      <sheetName val="Tables 8a, 8b &amp; 8c"/>
      <sheetName val="Table 9"/>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bmissionInformation"/>
      <sheetName val="DefineSourceData"/>
      <sheetName val="AssetDataQuality"/>
      <sheetName val="Lookups"/>
      <sheetName val="DD Reference data"/>
      <sheetName val="MetadataTableCSV_intructions"/>
      <sheetName val="MetadataTableCSV"/>
      <sheetName val="Checklist"/>
      <sheetName val="Metadata table design"/>
    </sheetNames>
    <sheetDataSet>
      <sheetData sheetId="0"/>
      <sheetData sheetId="1"/>
      <sheetData sheetId="2"/>
      <sheetData sheetId="3">
        <row r="1">
          <cell r="B1" t="str">
            <v>Coverage</v>
          </cell>
        </row>
        <row r="2">
          <cell r="B2" t="str">
            <v>Completeness</v>
          </cell>
        </row>
        <row r="3">
          <cell r="B3" t="str">
            <v>Uniqueness</v>
          </cell>
        </row>
        <row r="4">
          <cell r="B4" t="str">
            <v>Single-field validation</v>
          </cell>
        </row>
        <row r="5">
          <cell r="B5" t="str">
            <v>Integrity</v>
          </cell>
        </row>
        <row r="6">
          <cell r="B6" t="str">
            <v>Punctuality</v>
          </cell>
        </row>
      </sheetData>
      <sheetData sheetId="4"/>
      <sheetData sheetId="5"/>
      <sheetData sheetId="6"/>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uncils"/>
      <sheetName val="Extracts"/>
      <sheetName val="OrgHistory"/>
      <sheetName val="DataProcessing"/>
      <sheetName val="DH macros"/>
      <sheetName val="Cover"/>
      <sheetName val="Activity data"/>
      <sheetName val="Grants"/>
      <sheetName val="XSSM"/>
      <sheetName val="X2"/>
      <sheetName val="SSMSS"/>
      <sheetName val="Incl SSMSS"/>
      <sheetName val="Unit costs"/>
      <sheetName val="Unit costs summary"/>
      <sheetName val="Cost Data for PAF"/>
      <sheetName val="2004-05RAPdata"/>
      <sheetName val="HH1data"/>
      <sheetName val="2004-05PSSEX1Exp"/>
      <sheetName val="2004-05PSSEX1UCs"/>
      <sheetName val="Efficiency calcs"/>
      <sheetName val="Comments"/>
      <sheetName val="ActivityData_Extract"/>
      <sheetName val="GrantsData_Extract"/>
      <sheetName val="XSSMData_Part1_Extract"/>
      <sheetName val="XSSMData_Part2_Extract"/>
      <sheetName val="XSSMData_Part3_Extract"/>
      <sheetName val="XSSMData_Part4_Extract"/>
      <sheetName val="XSSMData_Part5_Extract"/>
      <sheetName val="XSSMData_Part6_Extract"/>
      <sheetName val="EfficiencyCalcsData_Extract"/>
    </sheetNames>
    <sheetDataSet>
      <sheetData sheetId="0" refreshError="1"/>
      <sheetData sheetId="1" refreshError="1"/>
      <sheetData sheetId="2" refreshError="1"/>
      <sheetData sheetId="3" refreshError="1"/>
      <sheetData sheetId="4" refreshError="1"/>
      <sheetData sheetId="5" refreshError="1">
        <row r="8">
          <cell r="E8" t="str">
            <v>Herefordshire UA</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et Details"/>
      <sheetName val="Change control for v1.0 - v1.2"/>
      <sheetName val="Change control (v1.5)"/>
      <sheetName val="Change Control (Internal)"/>
      <sheetName val="Explanation of Data Set Columns"/>
      <sheetName val="Data Linkage"/>
      <sheetName val="Technical Glossary"/>
      <sheetName val="File-level Rejects"/>
      <sheetName val="CYP000Header"/>
      <sheetName val="CYP001MPI"/>
      <sheetName val="CYP002GP"/>
      <sheetName val="CYP003AccommType"/>
      <sheetName val="CYP101Referral"/>
      <sheetName val="CYP102ServiceTypeReferredTo"/>
      <sheetName val="CYP103OtherReasonReferral"/>
      <sheetName val="CYP104RTT"/>
      <sheetName val="CYP105OnwardReferral"/>
      <sheetName val="CYP201CareContact"/>
      <sheetName val="CYP202CareActivity"/>
      <sheetName val="CYP301GroupSession"/>
      <sheetName val="CYP401SpEdNeedId"/>
      <sheetName val="CYP402SVF"/>
      <sheetName val="CYP403CPP"/>
      <sheetName val="CYP404AssTechToSupportDisTyp"/>
      <sheetName val="CYP501CodedImm"/>
      <sheetName val="CYP502Imm"/>
      <sheetName val="CYP601MedicalHistory"/>
      <sheetName val="CYP602DisabilityType"/>
      <sheetName val="CYP603NewbornHearingScreening"/>
      <sheetName val="CYP604BloodSpotResult"/>
      <sheetName val="CYP605IPE"/>
      <sheetName val="CYP606ProvDiag"/>
      <sheetName val="CYP607PrimDiag"/>
      <sheetName val="CYP608SecDiag"/>
      <sheetName val="CYP609CodedAssessmentReferral"/>
      <sheetName val="CYP610BreastfeedingStatus"/>
      <sheetName val="CYP611Obs"/>
      <sheetName val="CYP612CodedAssessmentContact"/>
      <sheetName val="CYP613AnonSelfAssessment"/>
      <sheetName val="CYP901StaffDetails"/>
      <sheetName val="CDS items not for data flow"/>
      <sheetName val="Master Warnings List"/>
      <sheetName val="Master Data Item List"/>
      <sheetName val="Unique Fields List"/>
      <sheetName val="XML Workings 1"/>
      <sheetName val="XML Workings 2"/>
      <sheetName val="XML Workings 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ow r="1">
          <cell r="A1" t="str">
            <v>XML Schema Code</v>
          </cell>
          <cell r="B1" t="str">
            <v>XML Code Prefix</v>
          </cell>
          <cell r="C1" t="str">
            <v>XML Code Suffix</v>
          </cell>
          <cell r="D1" t="str">
            <v>UID Naming bit to avoid array formula</v>
          </cell>
          <cell r="E1" t="str">
            <v>Data Table</v>
          </cell>
          <cell r="F1" t="str">
            <v>Data Item Name</v>
          </cell>
          <cell r="G1" t="str">
            <v>Derived Data Item?</v>
          </cell>
          <cell r="H1" t="str">
            <v>Original Data Item Order</v>
          </cell>
          <cell r="I1" t="str">
            <v>Data Item Description</v>
          </cell>
          <cell r="J1" t="str">
            <v>Format</v>
          </cell>
          <cell r="K1" t="str">
            <v>Recvd Data Item Blank</v>
          </cell>
          <cell r="L1" t="str">
            <v>Format Error</v>
          </cell>
          <cell r="M1" t="str">
            <v>National Code Error</v>
          </cell>
          <cell r="N1" t="str">
            <v>Additional Validation Rules</v>
          </cell>
          <cell r="O1" t="str">
            <v>Info Req Ref</v>
          </cell>
          <cell r="P1" t="str">
            <v>Information Requirements (Purpose)</v>
          </cell>
          <cell r="Q1" t="str">
            <v>Mandatory/ Required/ Optional</v>
          </cell>
          <cell r="R1" t="str">
            <v>Warning / Validation Message count</v>
          </cell>
          <cell r="S1" t="str">
            <v>Concatenated warning / validation messages (Taken from all matching messages in Master Warnings List)</v>
          </cell>
        </row>
        <row r="2">
          <cell r="A2" t="str">
            <v>C000010</v>
          </cell>
          <cell r="B2" t="str">
            <v>C000</v>
          </cell>
          <cell r="C2" t="str">
            <v>010</v>
          </cell>
          <cell r="D2" t="str">
            <v>C000010_1</v>
          </cell>
          <cell r="E2" t="str">
            <v>CYP000Header</v>
          </cell>
          <cell r="F2" t="str">
            <v>DATA SET VERSION NUMBER</v>
          </cell>
          <cell r="G2">
            <v>0</v>
          </cell>
          <cell r="H2">
            <v>1</v>
          </cell>
          <cell r="I2" t="str">
            <v>The version of the CYPHS data set that this submission file is for.</v>
          </cell>
          <cell r="J2" t="str">
            <v>max n2.max n2</v>
          </cell>
          <cell r="K2" t="str">
            <v>Reject</v>
          </cell>
          <cell r="L2" t="str">
            <v>Reject</v>
          </cell>
          <cell r="M2" t="str">
            <v>N/A</v>
          </cell>
          <cell r="N2" t="str">
            <v>Value should be set to the current data set version in operation  eg "02.10" for version 2.1.</v>
          </cell>
          <cell r="O2" t="str">
            <v>Purpose</v>
          </cell>
          <cell r="P2" t="str">
            <v>Generic for all information requirements</v>
          </cell>
          <cell r="Q2" t="str">
            <v>M</v>
          </cell>
          <cell r="R2">
            <v>3</v>
          </cell>
          <cell r="S2" t="str">
            <v>CYP00001 - File rejected - Data Set Version Number is blank.
CYP00002 - File rejected - Data Set Version Number has incorrect data format.
CYP00003 - File rejected - Data Set Version Number has incorrect value for current ruling data set. Data Set Version Number=&lt;C000010&gt;</v>
          </cell>
        </row>
        <row r="3">
          <cell r="A3" t="str">
            <v>C000020</v>
          </cell>
          <cell r="B3" t="str">
            <v>C000</v>
          </cell>
          <cell r="C3" t="str">
            <v>020</v>
          </cell>
          <cell r="D3" t="str">
            <v>C000020_1</v>
          </cell>
          <cell r="E3" t="str">
            <v>CYP000Header</v>
          </cell>
          <cell r="F3" t="str">
            <v>ORGANISATION CODE (CODE OF PROVIDER)</v>
          </cell>
          <cell r="G3">
            <v>0</v>
          </cell>
          <cell r="H3">
            <v>2</v>
          </cell>
          <cell r="I3" t="str">
            <v>This is the ORGANISATION CODE of the ORGANISATION acting as a Health Care Provider.
This is the organisation code that will be concatenated with any Local Patient Identifiers to form a unique "Local Patient Identifier" within the national database</v>
          </cell>
          <cell r="J3" t="str">
            <v>an3, an5 or an6</v>
          </cell>
          <cell r="K3" t="str">
            <v>Reject</v>
          </cell>
          <cell r="L3" t="str">
            <v>Reject</v>
          </cell>
          <cell r="M3" t="str">
            <v>Warning</v>
          </cell>
          <cell r="N3" t="str">
            <v>If ORGANISATION CODE does not match expected Org Code for the provider of the transmission file (based on the login details for the BSP), the file will be rejected.
If ORGANISATION CODE is not in national organisation tables as a current, "live" organisation a warning will be generated</v>
          </cell>
          <cell r="O3" t="str">
            <v>Purpose</v>
          </cell>
          <cell r="P3" t="str">
            <v>Generic for all information requirements</v>
          </cell>
          <cell r="Q3" t="str">
            <v>M</v>
          </cell>
          <cell r="R3">
            <v>4</v>
          </cell>
          <cell r="S3" t="str">
            <v>CYP00004 - File rejected - Organisation Code (Code of Provider) is blank.
CYP00005 - File rejected - Organisation Code (Code of Provider) has incorrect data format.
CYP00006 - Warning - Organisation Code (Code of Provider) is not for a current live organisation in national tables. Organisation Code (Code of Provider) = &lt;C000020&gt;
CYP00024 - File rejected - Organisation Code (Code Of Provider) does not match the Organisation Code (Code of Provider) from the BSP login details. Organisation Code (Code Of Provider) = &lt;C000020&gt;</v>
          </cell>
        </row>
        <row r="4">
          <cell r="A4" t="str">
            <v>C000030</v>
          </cell>
          <cell r="B4" t="str">
            <v>C000</v>
          </cell>
          <cell r="C4" t="str">
            <v>030</v>
          </cell>
          <cell r="D4" t="str">
            <v>C000030_1</v>
          </cell>
          <cell r="E4" t="str">
            <v>CYP000Header</v>
          </cell>
          <cell r="F4" t="str">
            <v>ORGANISATION CODE (CODE OF SUBMITTING ORGANISATION)</v>
          </cell>
          <cell r="G4">
            <v>0</v>
          </cell>
          <cell r="H4">
            <v>3</v>
          </cell>
          <cell r="I4" t="str">
            <v>This is the ORGANISATION CODE of the ORGANISATION of the ORGANISATION acting as the physical sender of a Data Set submission.
This code provides an audit trail where a different organisation is undertaking the submission on behalf of the provider organisation.
It will not be carried over into the national database.</v>
          </cell>
          <cell r="J4" t="str">
            <v>max an6</v>
          </cell>
          <cell r="K4" t="str">
            <v>Reject</v>
          </cell>
          <cell r="L4" t="str">
            <v>Reject</v>
          </cell>
          <cell r="M4" t="str">
            <v>N/A</v>
          </cell>
          <cell r="N4" t="str">
            <v>If ORGANISATION CODE is not in national organisation tables as a current, "live" organisation a warning will be generated</v>
          </cell>
          <cell r="O4" t="str">
            <v>Purpose</v>
          </cell>
          <cell r="P4" t="str">
            <v>Generic for all information requirements</v>
          </cell>
          <cell r="Q4" t="str">
            <v>M</v>
          </cell>
          <cell r="R4">
            <v>3</v>
          </cell>
          <cell r="S4" t="str">
            <v>CYP00007 - File rejected - Organisation Code (Code Of Submitting Organisation) is blank
CYP00008 - File rejected - Organisation Code (Code Of Submitting Organisation) has incorrect data format.
CYP00009 - Warning - Organisation Code (Code of Submitting Organisation) is not for a current live organisation in national tables. Organisation Code (Code of Submitting Organisation) = &lt;C000030</v>
          </cell>
        </row>
        <row r="5">
          <cell r="A5" t="str">
            <v>C000040</v>
          </cell>
          <cell r="B5" t="str">
            <v>C000</v>
          </cell>
          <cell r="C5" t="str">
            <v>040</v>
          </cell>
          <cell r="D5" t="str">
            <v>C000040_1</v>
          </cell>
          <cell r="E5" t="str">
            <v>CYP000Header</v>
          </cell>
          <cell r="F5" t="str">
            <v>REPORTING PERIOD START DATE</v>
          </cell>
          <cell r="G5">
            <v>0</v>
          </cell>
          <cell r="H5">
            <v>4</v>
          </cell>
          <cell r="I5" t="str">
            <v>The reporting period start date to which this file refers</v>
          </cell>
          <cell r="J5" t="str">
            <v>an10
CCYY-MM-DD</v>
          </cell>
          <cell r="K5" t="str">
            <v>Reject</v>
          </cell>
          <cell r="L5" t="str">
            <v>Reject</v>
          </cell>
          <cell r="M5" t="str">
            <v>N/A</v>
          </cell>
          <cell r="N5" t="str">
            <v>If REPORTING PERIOD START DATE does not match the start date of the reporting period selected by the user within BSP, the file will be rejected</v>
          </cell>
          <cell r="O5" t="str">
            <v>Purpose</v>
          </cell>
          <cell r="Q5" t="str">
            <v>M</v>
          </cell>
          <cell r="R5">
            <v>3</v>
          </cell>
          <cell r="S5" t="str">
            <v>CYP00010 - File rejected - Reporting Period Start Date is blank.
CYP00011 - File rejected - Reporting Period Start Date has incorrect data format.
CYP00012 - File rejected - Reporting Period Start Date is does not match the reporting period selected in BSP upload. Reporting Period Start Date = &lt;C000040&gt; Reporting Period End Date = &lt;C000050&gt;</v>
          </cell>
        </row>
        <row r="6">
          <cell r="A6" t="str">
            <v>C000050</v>
          </cell>
          <cell r="B6" t="str">
            <v>C000</v>
          </cell>
          <cell r="C6" t="str">
            <v>050</v>
          </cell>
          <cell r="D6" t="str">
            <v>C000050_1</v>
          </cell>
          <cell r="E6" t="str">
            <v>CYP000Header</v>
          </cell>
          <cell r="F6" t="str">
            <v>REPORTING PERIOD END DATE</v>
          </cell>
          <cell r="G6">
            <v>0</v>
          </cell>
          <cell r="H6">
            <v>5</v>
          </cell>
          <cell r="I6" t="str">
            <v>The reporting period end date to which this file refers</v>
          </cell>
          <cell r="J6" t="str">
            <v>an10
CCYY-MM-DD</v>
          </cell>
          <cell r="K6" t="str">
            <v>Reject</v>
          </cell>
          <cell r="L6" t="str">
            <v>Reject</v>
          </cell>
          <cell r="M6" t="str">
            <v>N/A</v>
          </cell>
          <cell r="N6" t="str">
            <v>If REPORTING PERIOD END DATE does not match the end date of the reporting period selected by the user within BSP, the file will be rejected</v>
          </cell>
          <cell r="O6" t="str">
            <v>Purpose</v>
          </cell>
          <cell r="Q6" t="str">
            <v>M</v>
          </cell>
          <cell r="R6">
            <v>3</v>
          </cell>
          <cell r="S6" t="str">
            <v>CYP00013 - File rejected - Reporting Period End Date is blank
CYP00014 - File rejected - Reporting Period End Date has incorrect data format.
CYP00015 - File rejected - Reporting Period End Date is does not match the reporting period selected in BSP upload. Reporting Period Start Date = &lt;C000040&gt; Reporting Period End Date = &lt;C000050&gt;</v>
          </cell>
        </row>
        <row r="7">
          <cell r="A7" t="str">
            <v>C000060</v>
          </cell>
          <cell r="B7" t="str">
            <v>C000</v>
          </cell>
          <cell r="C7" t="str">
            <v>060</v>
          </cell>
          <cell r="D7" t="str">
            <v>C000060_1</v>
          </cell>
          <cell r="E7" t="str">
            <v>CYP000Header</v>
          </cell>
          <cell r="F7" t="str">
            <v>DATE AND TIME DATA SET CREATED</v>
          </cell>
          <cell r="G7">
            <v>0</v>
          </cell>
          <cell r="H7">
            <v>6</v>
          </cell>
          <cell r="I7" t="str">
            <v>Date/time this upload file was created</v>
          </cell>
          <cell r="J7" t="str">
            <v>an19
YYYY-MM-DDThh:mm:ss</v>
          </cell>
          <cell r="K7" t="str">
            <v>Reject</v>
          </cell>
          <cell r="L7" t="str">
            <v>Reject</v>
          </cell>
          <cell r="M7" t="str">
            <v>N/A</v>
          </cell>
          <cell r="O7" t="str">
            <v>Purpose</v>
          </cell>
          <cell r="Q7" t="str">
            <v>M</v>
          </cell>
          <cell r="R7">
            <v>2</v>
          </cell>
          <cell r="S7" t="str">
            <v>CYP00016 - File rejected - Date And Time Data Set Created is blank.
CYP00017 - File rejected - Date And Time Data Set Created has incorrect data format.</v>
          </cell>
        </row>
        <row r="8">
          <cell r="A8" t="str">
            <v>C000070</v>
          </cell>
          <cell r="B8" t="str">
            <v>C000</v>
          </cell>
          <cell r="C8" t="str">
            <v>070</v>
          </cell>
          <cell r="D8" t="str">
            <v>C000070_1</v>
          </cell>
          <cell r="E8" t="str">
            <v>CYP000Header</v>
          </cell>
          <cell r="F8" t="str">
            <v>CYPHS SUBMISSION RECORD COUNT</v>
          </cell>
          <cell r="G8">
            <v>0</v>
          </cell>
          <cell r="H8">
            <v>7</v>
          </cell>
          <cell r="I8" t="str">
            <v>A total cumulative count of all rows in all data groups (except header) contained within a CYPHS Data Set submission to the Health and Social Care Information Centre (HSCIC). This information is used to ensure files are complete upon receipt, and to maintain accurate file processing.</v>
          </cell>
          <cell r="J8" t="str">
            <v>min n1 max n10</v>
          </cell>
          <cell r="K8" t="str">
            <v>Reject</v>
          </cell>
          <cell r="L8" t="str">
            <v>Reject</v>
          </cell>
          <cell r="M8" t="str">
            <v>N/A</v>
          </cell>
          <cell r="N8" t="str">
            <v>If the CYPHS SUBMISSION RECORD COUNT does not equal the cumulative total number of rows in the transmitted file, the file will be rejected.</v>
          </cell>
          <cell r="O8" t="str">
            <v>Purpose</v>
          </cell>
          <cell r="Q8" t="str">
            <v>M</v>
          </cell>
          <cell r="R8">
            <v>3</v>
          </cell>
          <cell r="S8" t="str">
            <v>CYP00018 - File rejected - CYPHS Submission Record Count is blank.
CYP00019 - File rejected - CYPHS Submission Record Count has incorrect data format.
CYP00020 - File rejected - CYPHS Submission Record Count does not match the actual number of records in the submitted file. CYPHS Submission Record Count = &lt;C000070&gt;</v>
          </cell>
        </row>
        <row r="9">
          <cell r="A9" t="str">
            <v>C000D01</v>
          </cell>
          <cell r="E9" t="str">
            <v>CYP000Header</v>
          </cell>
          <cell r="F9" t="str">
            <v>CYP000 UNIQUE ID</v>
          </cell>
          <cell r="G9">
            <v>1</v>
          </cell>
          <cell r="H9">
            <v>8</v>
          </cell>
          <cell r="I9" t="str">
            <v>A unique ID per table.  This continues across reporting periods and across providers.  This uniquely identifies a row of data within a table.</v>
          </cell>
          <cell r="J9" t="str">
            <v>min n6 max n20</v>
          </cell>
        </row>
        <row r="10">
          <cell r="A10" t="str">
            <v>C000D02</v>
          </cell>
          <cell r="E10" t="str">
            <v>CYP000Header</v>
          </cell>
          <cell r="F10" t="str">
            <v>UPLOAD DATE TIME</v>
          </cell>
          <cell r="G10">
            <v>1</v>
          </cell>
          <cell r="H10">
            <v>9</v>
          </cell>
          <cell r="I10" t="str">
            <v>Date and time original data file was uploaded to the BSP</v>
          </cell>
          <cell r="J10" t="str">
            <v>an19YYYY-MM-DDTHH:MM:SS</v>
          </cell>
        </row>
        <row r="11">
          <cell r="A11" t="str">
            <v>C000D03</v>
          </cell>
          <cell r="E11" t="str">
            <v>CYP000Header</v>
          </cell>
          <cell r="F11" t="str">
            <v>END PROCESSING DATE TIME</v>
          </cell>
          <cell r="G11">
            <v>1</v>
          </cell>
          <cell r="H11">
            <v>10</v>
          </cell>
          <cell r="I11" t="str">
            <v>Date and time processing completed for this extract</v>
          </cell>
          <cell r="J11" t="str">
            <v>an19YYYY-MM-DDTHH:MM:SS</v>
          </cell>
        </row>
        <row r="12">
          <cell r="A12" t="str">
            <v>C000D04</v>
          </cell>
          <cell r="E12" t="str">
            <v>CYP000Header</v>
          </cell>
          <cell r="F12" t="str">
            <v>TOTAL RECORDS</v>
          </cell>
          <cell r="G12">
            <v>1</v>
          </cell>
          <cell r="H12">
            <v>11</v>
          </cell>
          <cell r="I12" t="str">
            <v xml:space="preserve">Total count of rows in all the extract tables that relate to this Header.  </v>
          </cell>
          <cell r="J12" t="str">
            <v>max n10</v>
          </cell>
        </row>
        <row r="13">
          <cell r="A13" t="str">
            <v>C000D05</v>
          </cell>
          <cell r="E13" t="str">
            <v>CYP000Header</v>
          </cell>
          <cell r="F13" t="str">
            <v>BSP UNIQUE ID</v>
          </cell>
          <cell r="G13">
            <v>1</v>
          </cell>
          <cell r="H13">
            <v>12</v>
          </cell>
          <cell r="I13" t="str">
            <v xml:space="preserve">A unique ID applied when original data file was uploaded to the Bureau Service Portal. Where a single upload is used to provide data for different reporting periods, there will be a separate BSPID assigned to each reporting period.  </v>
          </cell>
          <cell r="J13" t="str">
            <v>n6</v>
          </cell>
        </row>
        <row r="14">
          <cell r="A14" t="str">
            <v>C000D06</v>
          </cell>
          <cell r="E14" t="str">
            <v>CYP000Header</v>
          </cell>
          <cell r="F14" t="str">
            <v>TOTAL CYP001 POST PROCESSING ROW COUNT</v>
          </cell>
          <cell r="G14">
            <v>1</v>
          </cell>
          <cell r="H14">
            <v>13</v>
          </cell>
          <cell r="I14"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14" t="str">
            <v>min n1 max n7</v>
          </cell>
        </row>
        <row r="15">
          <cell r="A15" t="str">
            <v>C000D07</v>
          </cell>
          <cell r="E15" t="str">
            <v>CYP000Header</v>
          </cell>
          <cell r="F15" t="str">
            <v>TOTAL CYP002 POST PROCESSING ROW COUNT</v>
          </cell>
          <cell r="G15">
            <v>1</v>
          </cell>
          <cell r="H15">
            <v>14</v>
          </cell>
          <cell r="I15"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15" t="str">
            <v>min n1 max n7</v>
          </cell>
        </row>
        <row r="16">
          <cell r="A16" t="str">
            <v>C000D08</v>
          </cell>
          <cell r="E16" t="str">
            <v>CYP000Header</v>
          </cell>
          <cell r="F16" t="str">
            <v>TOTAL CYP003 POST PROCESSING ROW COUNT</v>
          </cell>
          <cell r="G16">
            <v>1</v>
          </cell>
          <cell r="H16">
            <v>15</v>
          </cell>
          <cell r="I16"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16" t="str">
            <v>min n1 max n7</v>
          </cell>
        </row>
        <row r="17">
          <cell r="A17" t="str">
            <v>C000D09</v>
          </cell>
          <cell r="E17" t="str">
            <v>CYP000Header</v>
          </cell>
          <cell r="F17" t="str">
            <v>TOTAL CYP004 POST PROCESSING ROW COUNT</v>
          </cell>
          <cell r="G17">
            <v>1</v>
          </cell>
          <cell r="H17">
            <v>16</v>
          </cell>
          <cell r="I17"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17" t="str">
            <v>min n1 max n7</v>
          </cell>
        </row>
        <row r="18">
          <cell r="A18" t="str">
            <v>C000D10</v>
          </cell>
          <cell r="E18" t="str">
            <v>CYP000Header</v>
          </cell>
          <cell r="F18" t="str">
            <v>TOTAL CYP101 POST PROCESSING ROW COUNT</v>
          </cell>
          <cell r="G18">
            <v>1</v>
          </cell>
          <cell r="H18">
            <v>17</v>
          </cell>
          <cell r="I18"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18" t="str">
            <v>min n1 max n7</v>
          </cell>
        </row>
        <row r="19">
          <cell r="A19" t="str">
            <v>C000D11</v>
          </cell>
          <cell r="E19" t="str">
            <v>CYP000Header</v>
          </cell>
          <cell r="F19" t="str">
            <v>TOTAL CYP102 POST PROCESSING ROW COUNT</v>
          </cell>
          <cell r="G19">
            <v>1</v>
          </cell>
          <cell r="H19">
            <v>18</v>
          </cell>
          <cell r="I19"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19" t="str">
            <v>min n1 max n7</v>
          </cell>
        </row>
        <row r="20">
          <cell r="A20" t="str">
            <v>C000D12</v>
          </cell>
          <cell r="E20" t="str">
            <v>CYP000Header</v>
          </cell>
          <cell r="F20" t="str">
            <v>TOTAL CYP103 POST PROCESSING ROW COUNT</v>
          </cell>
          <cell r="G20">
            <v>1</v>
          </cell>
          <cell r="H20">
            <v>19</v>
          </cell>
          <cell r="I20"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20" t="str">
            <v>min n1 max n7</v>
          </cell>
        </row>
        <row r="21">
          <cell r="A21" t="str">
            <v>C000D13</v>
          </cell>
          <cell r="E21" t="str">
            <v>CYP000Header</v>
          </cell>
          <cell r="F21" t="str">
            <v>TOTAL CYP104 POST PROCESSING ROW COUNT</v>
          </cell>
          <cell r="G21">
            <v>1</v>
          </cell>
          <cell r="H21">
            <v>20</v>
          </cell>
          <cell r="I21"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21" t="str">
            <v>min n1 max n7</v>
          </cell>
        </row>
        <row r="22">
          <cell r="A22" t="str">
            <v>C000D14</v>
          </cell>
          <cell r="E22" t="str">
            <v>CYP000Header</v>
          </cell>
          <cell r="F22" t="str">
            <v>TOTAL CYP105 POST PROCESSING ROW COUNT</v>
          </cell>
          <cell r="G22">
            <v>1</v>
          </cell>
          <cell r="H22">
            <v>21</v>
          </cell>
          <cell r="I22"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22" t="str">
            <v>min n1 max n7</v>
          </cell>
        </row>
        <row r="23">
          <cell r="A23" t="str">
            <v>C000D15</v>
          </cell>
          <cell r="E23" t="str">
            <v>CYP000Header</v>
          </cell>
          <cell r="F23" t="str">
            <v>TOTAL CYP201 POST PROCESSING ROW COUNT</v>
          </cell>
          <cell r="G23">
            <v>1</v>
          </cell>
          <cell r="H23">
            <v>22</v>
          </cell>
          <cell r="I23"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23" t="str">
            <v>min n1 max n7</v>
          </cell>
        </row>
        <row r="24">
          <cell r="A24" t="str">
            <v>C000D16</v>
          </cell>
          <cell r="E24" t="str">
            <v>CYP000Header</v>
          </cell>
          <cell r="F24" t="str">
            <v>TOTAL CYP202 POST PROCESSING ROW COUNT</v>
          </cell>
          <cell r="G24">
            <v>1</v>
          </cell>
          <cell r="H24">
            <v>23</v>
          </cell>
          <cell r="I24"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24" t="str">
            <v>min n1 max n7</v>
          </cell>
        </row>
        <row r="25">
          <cell r="A25" t="str">
            <v>C000D17</v>
          </cell>
          <cell r="E25" t="str">
            <v>CYP000Header</v>
          </cell>
          <cell r="F25" t="str">
            <v>TOTAL CYP301 POST PROCESSING ROW COUNT</v>
          </cell>
          <cell r="G25">
            <v>1</v>
          </cell>
          <cell r="H25">
            <v>24</v>
          </cell>
          <cell r="I25"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25" t="str">
            <v>min n1 max n7</v>
          </cell>
        </row>
        <row r="26">
          <cell r="A26" t="str">
            <v>C000D18</v>
          </cell>
          <cell r="E26" t="str">
            <v>CYP000Header</v>
          </cell>
          <cell r="F26" t="str">
            <v>TOTAL CYP401 POST PROCESSING ROW COUNT</v>
          </cell>
          <cell r="G26">
            <v>1</v>
          </cell>
          <cell r="H26">
            <v>25</v>
          </cell>
          <cell r="I26"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26" t="str">
            <v>min n1 max n7</v>
          </cell>
        </row>
        <row r="27">
          <cell r="A27" t="str">
            <v>C000D19</v>
          </cell>
          <cell r="E27" t="str">
            <v>CYP000Header</v>
          </cell>
          <cell r="F27" t="str">
            <v>TOTAL CYP402 POST PROCESSING ROW COUNT</v>
          </cell>
          <cell r="G27">
            <v>1</v>
          </cell>
          <cell r="H27">
            <v>26</v>
          </cell>
          <cell r="I27"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27" t="str">
            <v>min n1 max n7</v>
          </cell>
        </row>
        <row r="28">
          <cell r="A28" t="str">
            <v>C000D20</v>
          </cell>
          <cell r="E28" t="str">
            <v>CYP000Header</v>
          </cell>
          <cell r="F28" t="str">
            <v>TOTAL CYP403 POST PROCESSING ROW COUNT</v>
          </cell>
          <cell r="G28">
            <v>1</v>
          </cell>
          <cell r="H28">
            <v>27</v>
          </cell>
          <cell r="I28"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28" t="str">
            <v>min n1 max n7</v>
          </cell>
        </row>
        <row r="29">
          <cell r="A29" t="str">
            <v>C000D21</v>
          </cell>
          <cell r="E29" t="str">
            <v>CYP000Header</v>
          </cell>
          <cell r="F29" t="str">
            <v>TOTAL CYP404 POST PROCESSING ROW COUNT</v>
          </cell>
          <cell r="G29">
            <v>1</v>
          </cell>
          <cell r="H29">
            <v>28</v>
          </cell>
          <cell r="I29"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29" t="str">
            <v>min n1 max n7</v>
          </cell>
        </row>
        <row r="30">
          <cell r="A30" t="str">
            <v>C000D22</v>
          </cell>
          <cell r="E30" t="str">
            <v>CYP000Header</v>
          </cell>
          <cell r="F30" t="str">
            <v>TOTAL CYP501 POST PROCESSING ROW COUNT</v>
          </cell>
          <cell r="G30">
            <v>1</v>
          </cell>
          <cell r="H30">
            <v>29</v>
          </cell>
          <cell r="I30"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30" t="str">
            <v>min n1 max n7</v>
          </cell>
        </row>
        <row r="31">
          <cell r="A31" t="str">
            <v>C000D23</v>
          </cell>
          <cell r="E31" t="str">
            <v>CYP000Header</v>
          </cell>
          <cell r="F31" t="str">
            <v>TOTAL CYP502 POST PROCESSING ROW COUNT</v>
          </cell>
          <cell r="G31">
            <v>1</v>
          </cell>
          <cell r="H31">
            <v>30</v>
          </cell>
          <cell r="I31"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31" t="str">
            <v>min n1 max n7</v>
          </cell>
        </row>
        <row r="32">
          <cell r="A32" t="str">
            <v>C000D24</v>
          </cell>
          <cell r="E32" t="str">
            <v>CYP000Header</v>
          </cell>
          <cell r="F32" t="str">
            <v>TOTAL CYP601 POST PROCESSING ROW COUNT</v>
          </cell>
          <cell r="G32">
            <v>1</v>
          </cell>
          <cell r="H32">
            <v>31</v>
          </cell>
          <cell r="I32"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32" t="str">
            <v>min n1 max n7</v>
          </cell>
        </row>
        <row r="33">
          <cell r="A33" t="str">
            <v>C000D25</v>
          </cell>
          <cell r="E33" t="str">
            <v>CYP000Header</v>
          </cell>
          <cell r="F33" t="str">
            <v>TOTAL CYP602 POST PROCESSING ROW COUNT</v>
          </cell>
          <cell r="G33">
            <v>1</v>
          </cell>
          <cell r="H33">
            <v>32</v>
          </cell>
          <cell r="I33"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33" t="str">
            <v>min n1 max n7</v>
          </cell>
        </row>
        <row r="34">
          <cell r="A34" t="str">
            <v>C000D26</v>
          </cell>
          <cell r="E34" t="str">
            <v>CYP000Header</v>
          </cell>
          <cell r="F34" t="str">
            <v>TOTAL CYP603 POST PROCESSING ROW COUNT</v>
          </cell>
          <cell r="G34">
            <v>1</v>
          </cell>
          <cell r="H34">
            <v>33</v>
          </cell>
          <cell r="I34"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34" t="str">
            <v>min n1 max n7</v>
          </cell>
        </row>
        <row r="35">
          <cell r="A35" t="str">
            <v>C000D27</v>
          </cell>
          <cell r="E35" t="str">
            <v>CYP000Header</v>
          </cell>
          <cell r="F35" t="str">
            <v>TOTAL CYP604 POST PROCESSING ROW COUNT</v>
          </cell>
          <cell r="G35">
            <v>1</v>
          </cell>
          <cell r="H35">
            <v>34</v>
          </cell>
          <cell r="I35"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35" t="str">
            <v>min n1 max n7</v>
          </cell>
        </row>
        <row r="36">
          <cell r="A36" t="str">
            <v>C000D28</v>
          </cell>
          <cell r="E36" t="str">
            <v>CYP000Header</v>
          </cell>
          <cell r="F36" t="str">
            <v>TOTAL CYP605 POST PROCESSING ROW COUNT</v>
          </cell>
          <cell r="G36">
            <v>1</v>
          </cell>
          <cell r="H36">
            <v>35</v>
          </cell>
          <cell r="I36"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36" t="str">
            <v>min n1 max n7</v>
          </cell>
        </row>
        <row r="37">
          <cell r="A37" t="str">
            <v>C000D29</v>
          </cell>
          <cell r="E37" t="str">
            <v>CYP000Header</v>
          </cell>
          <cell r="F37" t="str">
            <v>TOTAL CYP606 POST PROCESSING ROW COUNT</v>
          </cell>
          <cell r="G37">
            <v>1</v>
          </cell>
          <cell r="H37">
            <v>36</v>
          </cell>
          <cell r="I37"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37" t="str">
            <v>min n1 max n7</v>
          </cell>
        </row>
        <row r="38">
          <cell r="A38" t="str">
            <v>C000D30</v>
          </cell>
          <cell r="E38" t="str">
            <v>CYP000Header</v>
          </cell>
          <cell r="F38" t="str">
            <v>TOTAL CYP607 POST PROCESSING ROW COUNT</v>
          </cell>
          <cell r="G38">
            <v>1</v>
          </cell>
          <cell r="H38">
            <v>37</v>
          </cell>
          <cell r="I38"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38" t="str">
            <v>min n1 max n7</v>
          </cell>
        </row>
        <row r="39">
          <cell r="A39" t="str">
            <v>C000D31</v>
          </cell>
          <cell r="E39" t="str">
            <v>CYP000Header</v>
          </cell>
          <cell r="F39" t="str">
            <v>TOTAL CYP608 POST PROCESSING ROW COUNT</v>
          </cell>
          <cell r="G39">
            <v>1</v>
          </cell>
          <cell r="H39">
            <v>38</v>
          </cell>
          <cell r="I39"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39" t="str">
            <v>min n1 max n7</v>
          </cell>
        </row>
        <row r="40">
          <cell r="A40" t="str">
            <v>C000D32</v>
          </cell>
          <cell r="E40" t="str">
            <v>CYP000Header</v>
          </cell>
          <cell r="F40" t="str">
            <v>TOTAL CYP609 POST PROCESSING ROW COUNT</v>
          </cell>
          <cell r="G40">
            <v>1</v>
          </cell>
          <cell r="H40">
            <v>39</v>
          </cell>
          <cell r="I40"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40" t="str">
            <v>min n1 max n7</v>
          </cell>
        </row>
        <row r="41">
          <cell r="A41" t="str">
            <v>C000D33</v>
          </cell>
          <cell r="E41" t="str">
            <v>CYP000Header</v>
          </cell>
          <cell r="F41" t="str">
            <v>TOTAL CYP610 POST PROCESSING ROW COUNT</v>
          </cell>
          <cell r="G41">
            <v>1</v>
          </cell>
          <cell r="H41">
            <v>40</v>
          </cell>
          <cell r="I41"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41" t="str">
            <v>min n1 max n7</v>
          </cell>
        </row>
        <row r="42">
          <cell r="A42" t="str">
            <v>C000D34</v>
          </cell>
          <cell r="E42" t="str">
            <v>CYP000Header</v>
          </cell>
          <cell r="F42" t="str">
            <v>TOTAL CYP611 POST PROCESSING ROW COUNT</v>
          </cell>
          <cell r="G42">
            <v>1</v>
          </cell>
          <cell r="H42">
            <v>41</v>
          </cell>
          <cell r="I42"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42" t="str">
            <v>min n1 max n7</v>
          </cell>
        </row>
        <row r="43">
          <cell r="A43" t="str">
            <v>C000D35</v>
          </cell>
          <cell r="E43" t="str">
            <v>CYP000Header</v>
          </cell>
          <cell r="F43" t="str">
            <v>TOTAL CYP901 POST PROCESSING ROW COUNT</v>
          </cell>
          <cell r="G43">
            <v>1</v>
          </cell>
          <cell r="H43">
            <v>42</v>
          </cell>
          <cell r="I43" t="str">
            <v>A total cumulative count of all rows in this data group within a specific CYPHS Data Set submission to the Health and Social Care Information Centre (HSCIC). This information is used to ensure files are complete upon receipt, and to maintain accurate file processing.</v>
          </cell>
          <cell r="J43" t="str">
            <v>min n1 max n7</v>
          </cell>
        </row>
        <row r="44">
          <cell r="A44" t="str">
            <v>C001901</v>
          </cell>
          <cell r="B44" t="str">
            <v>C001</v>
          </cell>
          <cell r="C44" t="str">
            <v>901</v>
          </cell>
          <cell r="D44" t="str">
            <v>901_1</v>
          </cell>
          <cell r="E44" t="str">
            <v>CYP001MPI</v>
          </cell>
          <cell r="F44" t="str">
            <v>LOCAL PATIENT IDENTIFIER (EXTENDED)</v>
          </cell>
          <cell r="G44">
            <v>0</v>
          </cell>
          <cell r="H44">
            <v>43</v>
          </cell>
          <cell r="I44" t="str">
            <v>This is a number used to identify a PATIENT uniquely within a Health Care Provider. It may be different from the PATIENT's casenote number and may be assigned automatically by the computer system.</v>
          </cell>
          <cell r="J44" t="str">
            <v>max an20</v>
          </cell>
          <cell r="K44" t="str">
            <v>Reject</v>
          </cell>
          <cell r="L44" t="str">
            <v>Reject</v>
          </cell>
          <cell r="M44" t="str">
            <v>N/A</v>
          </cell>
          <cell r="O44" t="str">
            <v>All to identify individual</v>
          </cell>
          <cell r="P44" t="str">
            <v>Used to uniquely identify an individual</v>
          </cell>
          <cell r="Q44" t="str">
            <v>M</v>
          </cell>
          <cell r="R44">
            <v>2</v>
          </cell>
          <cell r="S44" t="str">
            <v>CYP00104 - Record rejected -Local Patient Identifier (Extended) is blank.
CYP00105 - Record rejected - Local Patient Identifier (Extended) has an incorrect data format. Local Patient Identifier (Extended)=&lt;C001901&gt;</v>
          </cell>
        </row>
        <row r="45">
          <cell r="A45" t="str">
            <v>C001010</v>
          </cell>
          <cell r="B45" t="str">
            <v>C001</v>
          </cell>
          <cell r="C45" t="str">
            <v>010</v>
          </cell>
          <cell r="D45" t="str">
            <v>C001010_1</v>
          </cell>
          <cell r="E45" t="str">
            <v>CYP001MPI</v>
          </cell>
          <cell r="F45" t="str">
            <v>ORGANISATION CODE (LOCAL PATIENT IDENTIFIER)</v>
          </cell>
          <cell r="G45">
            <v>0</v>
          </cell>
          <cell r="H45">
            <v>44</v>
          </cell>
          <cell r="I45" t="str">
            <v>The organisation code of the organisation that assigned the local patient identifier.</v>
          </cell>
          <cell r="J45" t="str">
            <v>an3 or an5</v>
          </cell>
          <cell r="K45" t="str">
            <v>Reject</v>
          </cell>
          <cell r="L45" t="str">
            <v>Reject</v>
          </cell>
          <cell r="M45" t="str">
            <v>Warning</v>
          </cell>
          <cell r="N45" t="str">
            <v>If ORGANISATION CODE (LOCAL PATIENT IDENTIFIER) does not match the ORGANISATION CODE (CODE OF PROVIDER) in CYP000, a warning will be reported.
If ORGANISATION CODE is not in national organisation tables as a current, "live" organisation a warning will be generated</v>
          </cell>
          <cell r="O45" t="str">
            <v>All to identify individual</v>
          </cell>
          <cell r="P45" t="str">
            <v>Used to uniquely identify the organisation issuing the LPI</v>
          </cell>
          <cell r="Q45" t="str">
            <v>M</v>
          </cell>
          <cell r="R45">
            <v>4</v>
          </cell>
          <cell r="S45" t="str">
            <v>CYP00106- Record rejected - Organisation Code (Local Patient Identifier) is blank. Local Patient Identifier (Extended)=&lt;C001901&gt;
CYP00107 - Record rejected - Organisation Code (Local Patient Identifier) has an incorrect data format. Local Patient Identifier (Extended)=&lt;C001901&gt;
CYP00108 - Warning - Organisation Code (Local Patient Identifier) does not match the Organisation Code (Code of Provider) from the CYP000. Local Patient Identifier (Extended)=&lt;C001901&gt;
CYP00147 - Warning - Organisation Code (Local Patient Identifier) is not for a current live organisation in national tables. Local Patient Identifier (Extended)=&lt;C001901&gt;</v>
          </cell>
        </row>
        <row r="46">
          <cell r="A46" t="str">
            <v>C001020</v>
          </cell>
          <cell r="B46" t="str">
            <v>C001</v>
          </cell>
          <cell r="C46" t="str">
            <v>020</v>
          </cell>
          <cell r="D46" t="str">
            <v>C001020_1</v>
          </cell>
          <cell r="E46" t="str">
            <v>CYP001MPI</v>
          </cell>
          <cell r="F46" t="str">
            <v>ORGANISATION CODE (RESIDENCE RESPONSIBILITY)</v>
          </cell>
          <cell r="G46">
            <v>0</v>
          </cell>
          <cell r="H46">
            <v>45</v>
          </cell>
          <cell r="I46" t="str">
            <v>The organisation code derived from the patient's POSTCODE OF USUAL ADDRESS</v>
          </cell>
          <cell r="J46" t="str">
            <v>an3</v>
          </cell>
          <cell r="K46" t="str">
            <v>N/A</v>
          </cell>
          <cell r="L46" t="str">
            <v>Reject</v>
          </cell>
          <cell r="M46" t="str">
            <v>Warning</v>
          </cell>
          <cell r="O46" t="str">
            <v>All to identify individual</v>
          </cell>
          <cell r="P46" t="str">
            <v>Used to identify the organisation of responsibility or residence.</v>
          </cell>
          <cell r="Q46" t="str">
            <v>R</v>
          </cell>
          <cell r="R46">
            <v>2</v>
          </cell>
          <cell r="S46" t="str">
            <v>CYP00109 - Record rejected - Organisation Code (Residence Responsibility) has an incorrect data format. Local Patient Identifier (Extended)=&lt;C001901&gt;
CYP00110 - Warning - Organisation Code (Residence Responsibility) is not for a current live organisation in national tables. Local Patient Identifier (Extended)=&lt;C001901&gt;</v>
          </cell>
        </row>
        <row r="47">
          <cell r="A47" t="str">
            <v>C001030</v>
          </cell>
          <cell r="B47" t="str">
            <v>C001</v>
          </cell>
          <cell r="C47" t="str">
            <v>030</v>
          </cell>
          <cell r="D47" t="str">
            <v>C001030_1</v>
          </cell>
          <cell r="E47" t="str">
            <v>CYP001MPI</v>
          </cell>
          <cell r="F47" t="str">
            <v>ORGANISATION CODE (EDUCATIONAL ESTABLISHMENT)</v>
          </cell>
          <cell r="G47">
            <v>0</v>
          </cell>
          <cell r="H47">
            <v>46</v>
          </cell>
          <cell r="I47" t="str">
            <v>The ORGANISATION CODE of the Educational Establishment, including Schools</v>
          </cell>
          <cell r="J47" t="str">
            <v>min an5 max an8</v>
          </cell>
          <cell r="K47" t="str">
            <v>N/A</v>
          </cell>
          <cell r="L47" t="str">
            <v>Reject</v>
          </cell>
          <cell r="M47" t="str">
            <v>Warning</v>
          </cell>
          <cell r="O47" t="str">
            <v>All to identify individual</v>
          </cell>
          <cell r="P47" t="str">
            <v>Used to identify the educational establishment of the child or young person.</v>
          </cell>
          <cell r="Q47" t="str">
            <v>R</v>
          </cell>
          <cell r="R47">
            <v>2</v>
          </cell>
          <cell r="S47" t="str">
            <v>CYP00145 - Record rejected - Organisation Code (Educational Establishment) has an incorrect data format. Local Patient Identifier=&lt;C001901&gt;
CYP00146 - Warning - Organisation Code (Educational Establishment) is not for a current live organisation in national tables. Local Patient Identifier (Extended)=&lt;C001901&gt;</v>
          </cell>
        </row>
        <row r="48">
          <cell r="A48" t="str">
            <v>C001040</v>
          </cell>
          <cell r="B48" t="str">
            <v>C001</v>
          </cell>
          <cell r="C48" t="str">
            <v>040</v>
          </cell>
          <cell r="D48" t="str">
            <v>C001040_1</v>
          </cell>
          <cell r="E48" t="str">
            <v>CYP001MPI</v>
          </cell>
          <cell r="F48" t="str">
            <v>NHS NUMBER</v>
          </cell>
          <cell r="G48">
            <v>0</v>
          </cell>
          <cell r="H48">
            <v>47</v>
          </cell>
          <cell r="I48" t="str">
            <v>A number used to identify a PATIENT uniquely within the NHS in England and Wales</v>
          </cell>
          <cell r="J48" t="str">
            <v>n10</v>
          </cell>
          <cell r="K48" t="str">
            <v>Warning</v>
          </cell>
          <cell r="L48" t="str">
            <v>Reject</v>
          </cell>
          <cell r="M48" t="str">
            <v>N/A</v>
          </cell>
          <cell r="N48" t="str">
            <v>If NHS Number fails standard NHS number checks (Modulus-11 and check for disallowed numbers), the record will be rejected.
If NHS NUMBER contains a value, and NHS NUMBER STATUS INDICATOR CODE is   "07 - Number not present and trace not required", then a warning message will be generated.</v>
          </cell>
          <cell r="O48" t="str">
            <v>All to identify individual</v>
          </cell>
          <cell r="P48" t="str">
            <v>Used to uniquely identify an individual</v>
          </cell>
          <cell r="Q48" t="str">
            <v>R</v>
          </cell>
          <cell r="R48">
            <v>4</v>
          </cell>
          <cell r="S48" t="str">
            <v>CYP00111 - Warning - NHS Number is blank. Local Patient Identifier (Extended)=&lt;C001901&gt;
CYP00112 - Record rejected - NHS Number has an incorrect data format. Local Patient Identifier (Extended)=&lt;C001901&gt;
CYP00113 - Record rejected - NHS Number has failed validation. Local Patient Identifier (Extended)=&lt;C001901&gt; NHS Number=&lt;C001040&gt;
CYP00114 - Warning - NHS Number contains a value, but NHS Number Status Indicator Code is  "07 - Number not present and trace not required". Local Patient Identifier (Extended)=&lt;C001901&gt; NHS Number =&lt;C001040&gt; NHS Number Status Indicator Code =&lt;C001050&gt;</v>
          </cell>
        </row>
        <row r="49">
          <cell r="A49" t="str">
            <v>C001050</v>
          </cell>
          <cell r="B49" t="str">
            <v>C001</v>
          </cell>
          <cell r="C49" t="str">
            <v>050</v>
          </cell>
          <cell r="D49" t="str">
            <v>C001050_1</v>
          </cell>
          <cell r="E49" t="str">
            <v>CYP001MPI</v>
          </cell>
          <cell r="F49" t="str">
            <v>NHS NUMBER STATUS INDICATOR CODE</v>
          </cell>
          <cell r="G49">
            <v>0</v>
          </cell>
          <cell r="H49">
            <v>48</v>
          </cell>
          <cell r="I49" t="str">
            <v>The NHS NUMBER STATUS INDICATOR of the PATIENT</v>
          </cell>
          <cell r="J49" t="str">
            <v>an2</v>
          </cell>
          <cell r="K49" t="str">
            <v>N/A</v>
          </cell>
          <cell r="L49" t="str">
            <v>Reject</v>
          </cell>
          <cell r="M49" t="str">
            <v>Warning</v>
          </cell>
          <cell r="N49" t="str">
            <v xml:space="preserve">If value is not between '01' - '06' or '08' then a warning will be generated.
This field should be mandatory where the NHS Number provided is blank to ensure proper linkage.
If the NHS Number field is blank and the value for this item is anything other than '07' then a warning will be generated.
</v>
          </cell>
          <cell r="O49" t="str">
            <v>All to identify individual</v>
          </cell>
          <cell r="P49" t="str">
            <v>Used to uniquely identify an individual</v>
          </cell>
          <cell r="Q49" t="str">
            <v>R</v>
          </cell>
          <cell r="R49">
            <v>5</v>
          </cell>
          <cell r="S49" t="str">
            <v>CYP00115 - Record rejected - NHS Number Status Indicator Code has an incorrect data format. Local Patient Identifier (Extended)=&lt;C001901&gt; NHS Number = &lt;C001040&gt;
CYP00116 - Warning - NHS Number Status Indicator Code contains an invalid NHS Number Status Indicator Code. Local Patient Identifier (Extended)=&lt;C001901&gt; NHS Number Status Indicator Code = &lt;C001050&gt;
CYP00117 - Warning - NHS Number contains a value, and the NHS Number Status Indicator Code is "07 - Number not present and trace not required". Local Patient Identifier =&lt;C001901&gt; NHS Number = &lt;C001040&gt; NHS Number Status Indicator Code = &lt;C001050&gt;
CYP00118 - Warning - NHS Number Status Indicator Code should be mandatory where the NHS Number provided is blank". Local Patient Identifier =&lt;C001901&gt; 
CYP00119 - Warning - NHS Number field is blank but the NHS Number Status Indicator Code is a value other than '07' ". Local Patient Identifier=&lt;C001901&gt;  NHS Number Status Indicator Code =&lt;C001050&gt;</v>
          </cell>
        </row>
        <row r="50">
          <cell r="A50" t="str">
            <v>C001060</v>
          </cell>
          <cell r="B50" t="str">
            <v>C001</v>
          </cell>
          <cell r="C50" t="str">
            <v>060</v>
          </cell>
          <cell r="D50" t="str">
            <v>C001060_1</v>
          </cell>
          <cell r="E50" t="str">
            <v>CYP001MPI</v>
          </cell>
          <cell r="F50" t="str">
            <v>PERSON BIRTH DATE</v>
          </cell>
          <cell r="G50">
            <v>0</v>
          </cell>
          <cell r="H50">
            <v>49</v>
          </cell>
          <cell r="I50" t="str">
            <v>The date on which a PERSON was born or is officially deemed to have been born</v>
          </cell>
          <cell r="J50" t="str">
            <v>an10
CCYY-MM-DD</v>
          </cell>
          <cell r="K50" t="str">
            <v>Warning</v>
          </cell>
          <cell r="L50" t="str">
            <v>Reject</v>
          </cell>
          <cell r="M50" t="str">
            <v>N/A</v>
          </cell>
          <cell r="N50" t="str">
            <v>If Age (at start of the reporting period) is 19 years old or greater, then the record will be rejected.
If PersonBirthDate is after the end of the reporting period, the record will be rejected.
If PersonBirthDate is blank, a warning will be reported.</v>
          </cell>
          <cell r="O50" t="str">
            <v>All to analyse by age</v>
          </cell>
          <cell r="P50" t="str">
            <v>Used to calculate age at events</v>
          </cell>
          <cell r="Q50" t="str">
            <v>R</v>
          </cell>
          <cell r="R50">
            <v>4</v>
          </cell>
          <cell r="S50" t="str">
            <v>CYP00120 - Record rejected - Person Birth Date has an incorrect data format. Local Patient Identifier=&lt;C001901&gt;
CYP00121 - Record rejected - Person Birth Date indicates person is 19 years old or older at the start of the reporting period. Local Patient Identifier (Extended)= &lt;C001901&gt; Person Birth Date = &lt;C001060&gt;
CYP00122 - Record rejected - Person Birth Date is after the end of the reporting period. Local Patient Identifier (Extended) = &lt;C001901&gt; Person Birth Date = &lt;C001060&gt;
CYP00150 - Warning - Person Birth Date is blank. Local Patient Identifier (Extended)=&lt;C001901&gt;</v>
          </cell>
        </row>
        <row r="51">
          <cell r="A51" t="str">
            <v>C001070</v>
          </cell>
          <cell r="B51" t="str">
            <v>C001</v>
          </cell>
          <cell r="C51" t="str">
            <v>070</v>
          </cell>
          <cell r="D51" t="str">
            <v>C001070_1</v>
          </cell>
          <cell r="E51" t="str">
            <v>CYP001MPI</v>
          </cell>
          <cell r="F51" t="str">
            <v>POSTCODE OF USUAL ADDRESS</v>
          </cell>
          <cell r="G51">
            <v>0</v>
          </cell>
          <cell r="H51">
            <v>50</v>
          </cell>
          <cell r="I51" t="str">
            <v>The POSTCODE of the ADDRESS nominated by the PATIENT with ADDRESS ASSOCIATION TYPE 'Main Permanent Residence' or 'Other Permanent Residence'</v>
          </cell>
          <cell r="J51" t="str">
            <v>max an8</v>
          </cell>
          <cell r="K51" t="str">
            <v>Warning</v>
          </cell>
          <cell r="L51" t="str">
            <v>Reject</v>
          </cell>
          <cell r="M51" t="str">
            <v>Warning</v>
          </cell>
          <cell r="N51" t="str">
            <v>If the Postcode is provided and it is not in one of the accepted formats (see http://www.datadictionary.nhs.uk/web_site_content/supporting_information/nhs_postcode_directory.asp?shownav=1 for details), the record will be rejected.
If the Postcode is provided and it cannot be located in the national postcode look-up table, a warning will be reported.
If Postcode is blank, a warning will be reported.</v>
          </cell>
          <cell r="O51" t="str">
            <v>1.2.1.1</v>
          </cell>
          <cell r="P51" t="str">
            <v>Used to associate an individual with geographical areas, e.g. CCG, Electoral Ward, Sure Start area etc</v>
          </cell>
          <cell r="Q51" t="str">
            <v>R</v>
          </cell>
          <cell r="R51">
            <v>3</v>
          </cell>
          <cell r="S51" t="str">
            <v>CYP00123 - Record rejected - Postcode Of Usual Address has an incorrect data format. Local Patient Identifier (Extended)=&lt;C001901&gt;
CYP00124 - Warning - Postcode Of Usual Address provided is not in National Code tables. Local Patient Identifier (Extended)=&lt;C001901&gt; Postcode Of Usual Address=&lt;C001070&gt;
CYP00151 - Warning - Postcode Of Usual Address is blank. Local Patient Identifier (Extended)=&lt;C001901&gt;</v>
          </cell>
        </row>
        <row r="52">
          <cell r="A52" t="str">
            <v>C001080</v>
          </cell>
          <cell r="B52" t="str">
            <v>C001</v>
          </cell>
          <cell r="C52" t="str">
            <v>080</v>
          </cell>
          <cell r="D52" t="str">
            <v>C001080_1</v>
          </cell>
          <cell r="E52" t="str">
            <v>CYP001MPI</v>
          </cell>
          <cell r="F52" t="str">
            <v>PERSON STATED GENDER CODE</v>
          </cell>
          <cell r="G52">
            <v>0</v>
          </cell>
          <cell r="H52">
            <v>51</v>
          </cell>
          <cell r="I52" t="str">
            <v>PERSON STATED GENDER CODE is self declared or inferred by observation for those unable to declare their PERSON STATED GENDER.</v>
          </cell>
          <cell r="J52" t="str">
            <v>an1</v>
          </cell>
          <cell r="K52" t="str">
            <v>Warning</v>
          </cell>
          <cell r="L52" t="str">
            <v>Reject</v>
          </cell>
          <cell r="M52" t="str">
            <v>Warning</v>
          </cell>
          <cell r="N52" t="str">
            <v>If Gender is blank, a warning will be reported.</v>
          </cell>
          <cell r="O52" t="str">
            <v>All to analyse by sex</v>
          </cell>
          <cell r="P52" t="str">
            <v>Used to analyse data for difference by gender</v>
          </cell>
          <cell r="Q52" t="str">
            <v>R</v>
          </cell>
          <cell r="R52">
            <v>3</v>
          </cell>
          <cell r="S52" t="str">
            <v>CYP00125 - Record rejected - Person Stated Gender Code has an incorrect data format. Local Patient Identifier (Extended)=&lt;C001901&gt; NHS Number=&lt;NHS Number&gt;
CYP00126 - Warning - Person Stated Gender Code contains an invalid Person Stated Gender Code. Local Patient Identifier (Extended)=&lt;C001901&gt; Gender=&lt;C001080&gt;
CYP00152 - Warning - Person Stated Gender Code is blank. Local Patient Identifier (Extended)=&lt;C001901&gt;</v>
          </cell>
        </row>
        <row r="53">
          <cell r="A53" t="str">
            <v>C001090</v>
          </cell>
          <cell r="B53" t="str">
            <v>C001</v>
          </cell>
          <cell r="C53" t="str">
            <v>090</v>
          </cell>
          <cell r="D53" t="str">
            <v>C001090_1</v>
          </cell>
          <cell r="E53" t="str">
            <v>CYP001MPI</v>
          </cell>
          <cell r="F53" t="str">
            <v>ETHNIC CATEGORY</v>
          </cell>
          <cell r="G53">
            <v>0</v>
          </cell>
          <cell r="H53">
            <v>52</v>
          </cell>
          <cell r="I53" t="str">
            <v>The ethnicity of a PERSON, as specified by the PERSON.</v>
          </cell>
          <cell r="J53" t="str">
            <v>an2</v>
          </cell>
          <cell r="K53" t="str">
            <v>N/A</v>
          </cell>
          <cell r="L53" t="str">
            <v>Reject</v>
          </cell>
          <cell r="M53" t="str">
            <v>Warning</v>
          </cell>
          <cell r="O53" t="str">
            <v>1.2.1.9</v>
          </cell>
          <cell r="P53" t="str">
            <v>Used to monitor equality or distinctions in service usage by ethnicity</v>
          </cell>
          <cell r="Q53" t="str">
            <v>R</v>
          </cell>
          <cell r="R53">
            <v>2</v>
          </cell>
          <cell r="S53" t="str">
            <v>CYP00127 - Record rejected - Ethnic Category has an incorrect data format. Local Patient Identifier (Extended)=&lt;C001901&gt;
CYP00128 - Warning - Ethnic Category contains an invalid Ethnic Category. Local Patient Identifier (Extended)=&lt;C001901&gt; Ethnic Category=&lt;C001090&gt;</v>
          </cell>
        </row>
        <row r="54">
          <cell r="A54" t="str">
            <v>C001100</v>
          </cell>
          <cell r="B54" t="str">
            <v>C001</v>
          </cell>
          <cell r="C54" t="str">
            <v>100</v>
          </cell>
          <cell r="D54" t="str">
            <v>C001100_1</v>
          </cell>
          <cell r="E54" t="str">
            <v>CYP001MPI</v>
          </cell>
          <cell r="F54" t="str">
            <v>LANGUAGE CODE (PREFERRED)</v>
          </cell>
          <cell r="G54">
            <v>0</v>
          </cell>
          <cell r="H54">
            <v>53</v>
          </cell>
          <cell r="I54" t="str">
            <v>LANGUAGE CODE (PREFERRED) is the language the PATIENT prefers to use for communication with a Health
Care Provider. LANGUAGE CODE is based on the ISO 639-1 two character language codes, see the ISO 639.2 Registration Authority website (http://www.loc.gov/standards/iso639-2/php/code_list.php), plus five extensions (q1, q2, q3, q4, q5).</v>
          </cell>
          <cell r="J54" t="str">
            <v>an2</v>
          </cell>
          <cell r="K54" t="str">
            <v>N/A</v>
          </cell>
          <cell r="L54" t="str">
            <v>Reject</v>
          </cell>
          <cell r="M54" t="str">
            <v>Warning</v>
          </cell>
          <cell r="O54" t="str">
            <v>3.2.1.1</v>
          </cell>
          <cell r="P54" t="str">
            <v>Used to monitor variances in service usage/access according to preferred language</v>
          </cell>
          <cell r="Q54" t="str">
            <v>R</v>
          </cell>
          <cell r="R54">
            <v>2</v>
          </cell>
          <cell r="S54" t="str">
            <v>CYP00129 - Record rejected - Language Code (Preferred) has an incorrect data format. Local Patient Identifier (Extended)=&lt;C001901&gt;
CYP00130 - Warning - Language Code (Preferred) contains an invalid Language Code. Local Patient Identifier (Extended)=&lt;C001901&gt; Language Code (Preferred)=&lt;C001100&gt;</v>
          </cell>
        </row>
        <row r="55">
          <cell r="A55" t="str">
            <v>C001110</v>
          </cell>
          <cell r="B55" t="str">
            <v>C001</v>
          </cell>
          <cell r="C55" t="str">
            <v>110</v>
          </cell>
          <cell r="D55" t="str">
            <v>C001110_1</v>
          </cell>
          <cell r="E55" t="str">
            <v>CYP001MPI</v>
          </cell>
          <cell r="F55" t="str">
            <v>PERSON RELATIONSHIP (MAIN CARER)</v>
          </cell>
          <cell r="G55">
            <v>0</v>
          </cell>
          <cell r="H55">
            <v>54</v>
          </cell>
          <cell r="I55" t="str">
            <v>The relationship between the child/young person and the person/s who undertake/s the main caring role for them.</v>
          </cell>
          <cell r="J55" t="str">
            <v>an3</v>
          </cell>
          <cell r="K55" t="str">
            <v>Reject</v>
          </cell>
          <cell r="L55" t="str">
            <v>Reject</v>
          </cell>
          <cell r="M55" t="str">
            <v>Warning</v>
          </cell>
          <cell r="O55" t="str">
            <v>1.2.1.10</v>
          </cell>
          <cell r="P55" t="str">
            <v>Used to monitor usage by main carer</v>
          </cell>
          <cell r="Q55" t="str">
            <v>R</v>
          </cell>
          <cell r="R55">
            <v>3</v>
          </cell>
          <cell r="S55" t="str">
            <v>CYP00161 - Record rejected - Person Relationship (Main Carer) is blank. Local Patient Identifier (Extended) =&lt;C001901&gt;
CYP00162 - Record rejected - Person Relationship (Main Carer) has incorrect data format. Local Patient Identifier (Extended)=&lt;C001901&gt;
CYP00163 - Warning - Person Relationship (Main Carer) contains an invalid Person Relationship (Main Carer). Local Patient Identifier (Extended)=&lt;C001901&gt; Person Relationship (Main Carer)=&lt;C001110&gt;</v>
          </cell>
        </row>
        <row r="56">
          <cell r="A56" t="str">
            <v>C001120</v>
          </cell>
          <cell r="B56" t="str">
            <v>C001</v>
          </cell>
          <cell r="C56" t="str">
            <v>120</v>
          </cell>
          <cell r="D56" t="str">
            <v>C001120_1</v>
          </cell>
          <cell r="E56" t="str">
            <v>CYP001MPI</v>
          </cell>
          <cell r="F56" t="str">
            <v>HEALTH VISITOR FIRST ANTENATAL VISIT DATE</v>
          </cell>
          <cell r="G56">
            <v>0</v>
          </cell>
          <cell r="H56">
            <v>55</v>
          </cell>
          <cell r="I56" t="str">
            <v>The date when a Health Visitor has the first antenatal visit with the pregnant woman.</v>
          </cell>
          <cell r="J56" t="str">
            <v>an10
CCYY-MM-DD</v>
          </cell>
          <cell r="K56" t="str">
            <v>N/A</v>
          </cell>
          <cell r="L56" t="str">
            <v>Reject</v>
          </cell>
          <cell r="M56" t="str">
            <v>N/A</v>
          </cell>
          <cell r="N56" t="str">
            <v>If HVFirstAntenatalDate is after the PersonBirthDate, a warning will be reported.</v>
          </cell>
          <cell r="O56" t="str">
            <v>Analyse by time</v>
          </cell>
          <cell r="P56" t="str">
            <v>Analyse the time between first antenatal visit and other events</v>
          </cell>
          <cell r="Q56" t="str">
            <v>R</v>
          </cell>
          <cell r="R56">
            <v>2</v>
          </cell>
          <cell r="S56" t="str">
            <v xml:space="preserve">CYP00164 - Record rejected - Health Visitor First Antenatal Visit Date has incorrect data format. Local Patient Identifier (Extended)=&lt;C001901&gt;
CYP00165 - Warning - Health Visitor First Antenatal Visit Date is after the Person Birth Date. Local Patient Identifier (Extended)=&lt;C001901&gt; Health Visitor First Antenatal Visit Date=&lt;C001120&gt; Person Birth Date=&lt;C001060&gt; </v>
          </cell>
        </row>
        <row r="57">
          <cell r="A57" t="str">
            <v>C001130</v>
          </cell>
          <cell r="B57" t="str">
            <v>C001</v>
          </cell>
          <cell r="C57" t="str">
            <v>130</v>
          </cell>
          <cell r="D57" t="str">
            <v>C001130_1</v>
          </cell>
          <cell r="E57" t="str">
            <v>CYP001MPI</v>
          </cell>
          <cell r="F57" t="str">
            <v>LOOKED AFTER CHILD INDICATOR</v>
          </cell>
          <cell r="G57">
            <v>0</v>
          </cell>
          <cell r="H57">
            <v>56</v>
          </cell>
          <cell r="I57" t="str">
            <v>An indication of whether a PERSON is a Looked After Child.</v>
          </cell>
          <cell r="J57" t="str">
            <v>an1</v>
          </cell>
          <cell r="K57" t="str">
            <v>N/A</v>
          </cell>
          <cell r="L57" t="str">
            <v>Reject</v>
          </cell>
          <cell r="M57" t="str">
            <v>Warning</v>
          </cell>
          <cell r="O57" t="str">
            <v>1.2.1.2</v>
          </cell>
          <cell r="P57" t="str">
            <v>To monitor services and outcomes for children and young people who are or have been looked after</v>
          </cell>
          <cell r="Q57" t="str">
            <v>R</v>
          </cell>
          <cell r="R57">
            <v>2</v>
          </cell>
          <cell r="S57" t="str">
            <v>CYP00131 - Record rejected - Looked After Child Indicator has an incorrect data format. Local Patient Identifier (Extended)=&lt;C001901&gt;
CYP00132 - Warning - Looked After Child Indicator contains an invalid Looked After Child Indicator. Local Patient Identifier (Extended)=&lt;C001901&gt; Looked After Child Indicator=&lt;C001130&gt;</v>
          </cell>
        </row>
        <row r="58">
          <cell r="A58" t="str">
            <v>C001140</v>
          </cell>
          <cell r="B58" t="str">
            <v>C001</v>
          </cell>
          <cell r="C58" t="str">
            <v>140</v>
          </cell>
          <cell r="D58" t="str">
            <v>C001140_1</v>
          </cell>
          <cell r="E58" t="str">
            <v>CYP001MPI</v>
          </cell>
          <cell r="F58" t="str">
            <v>SAFEGUARDING VULNERABILITY FACTORS INDICATOR</v>
          </cell>
          <cell r="G58">
            <v>0</v>
          </cell>
          <cell r="H58">
            <v>57</v>
          </cell>
          <cell r="I58" t="str">
            <v>To record if there are any safeguarding vulnerability factors</v>
          </cell>
          <cell r="J58" t="str">
            <v>an1</v>
          </cell>
          <cell r="K58" t="str">
            <v>N/A</v>
          </cell>
          <cell r="L58" t="str">
            <v>Reject</v>
          </cell>
          <cell r="M58" t="str">
            <v>Warning</v>
          </cell>
          <cell r="O58" t="str">
            <v>All to analyse by safeguarding vulnerability factors indicator</v>
          </cell>
          <cell r="P58" t="str">
            <v>To monitor details of children with safeguarding concerns</v>
          </cell>
          <cell r="Q58" t="str">
            <v>R</v>
          </cell>
          <cell r="R58">
            <v>2</v>
          </cell>
          <cell r="S58" t="str">
            <v>CYP00133 - Record rejected - Safeguarding Vulnerability Factors Indicator has an incorrect data format. Local Patient Identifier (Extended)=&lt;C001901&gt; 
CYP00134 - Warning - Safeguarding Vulnerability Factors Indicator contains an invalid Safeguarding Vulnerability Factors Indicator. Local Patient Identifier =&lt;C001901&gt; Safeguarding Vulnerability Factors Indicator=&lt;C001140&gt;</v>
          </cell>
        </row>
        <row r="59">
          <cell r="A59" t="str">
            <v>C001150</v>
          </cell>
          <cell r="B59" t="str">
            <v>C001</v>
          </cell>
          <cell r="C59" t="str">
            <v>150</v>
          </cell>
          <cell r="D59" t="str">
            <v>C001150_1</v>
          </cell>
          <cell r="E59" t="str">
            <v>CYP001MPI</v>
          </cell>
          <cell r="F59" t="str">
            <v>CONSTANT SUPERVISION AND CARE REQUIRED DUE TO DISABILITY INDICATOR</v>
          </cell>
          <cell r="G59">
            <v>0</v>
          </cell>
          <cell r="H59">
            <v>58</v>
          </cell>
          <cell r="I59" t="str">
            <v>This indicates that a disabled person needs round the clock care and/or supervision for maintenance of their safety and/or wellbeing.</v>
          </cell>
          <cell r="J59" t="str">
            <v>an1</v>
          </cell>
          <cell r="K59" t="str">
            <v>N/A</v>
          </cell>
          <cell r="L59" t="str">
            <v>Reject</v>
          </cell>
          <cell r="M59" t="str">
            <v>Warning</v>
          </cell>
          <cell r="O59" t="str">
            <v>All to analyse by constant supervision due to disability indicator indicator</v>
          </cell>
          <cell r="P59" t="str">
            <v>To monitor details of childer which require constant supervision due to disability</v>
          </cell>
          <cell r="Q59" t="str">
            <v>R</v>
          </cell>
          <cell r="R59">
            <v>2</v>
          </cell>
          <cell r="S59" t="str">
            <v>CYP00153 - Record rejected - Constant Supervision And Care Required Due To Disability Indicator has an incorrect data format. Local Patient Identifier (Extended)=&lt;C001901&gt;
CYP00154 - Warning - Constant Supervision And Care Required Due To Disability Indicator contains an invalid Constant Supervision And Care Required Due To Disability Indicator.  Local Patient Identifier (Extended)=&lt;C001901&gt; Constant Supervision And Care Required Due To Disability Indicator=&lt;C001150&gt;</v>
          </cell>
        </row>
        <row r="60">
          <cell r="A60" t="str">
            <v>C001160</v>
          </cell>
          <cell r="B60" t="str">
            <v>C001</v>
          </cell>
          <cell r="C60" t="str">
            <v>160</v>
          </cell>
          <cell r="D60" t="str">
            <v>C001160_1</v>
          </cell>
          <cell r="E60" t="str">
            <v>CYP001MPI</v>
          </cell>
          <cell r="F60" t="str">
            <v>EDUCATIONAL ASSESSMENT OUTCOME</v>
          </cell>
          <cell r="G60">
            <v>0</v>
          </cell>
          <cell r="H60">
            <v>59</v>
          </cell>
          <cell r="I60" t="str">
            <v>The outcome of an educational assessment.</v>
          </cell>
          <cell r="J60" t="str">
            <v>an2</v>
          </cell>
          <cell r="K60" t="str">
            <v>N/A</v>
          </cell>
          <cell r="L60" t="str">
            <v>Reject</v>
          </cell>
          <cell r="M60" t="str">
            <v>Warning</v>
          </cell>
          <cell r="O60" t="str">
            <v>8.1.3.1</v>
          </cell>
          <cell r="P60" t="str">
            <v>Used to compare outcomes and provision for children/young people with disabilities or condition</v>
          </cell>
          <cell r="Q60" t="str">
            <v>R</v>
          </cell>
          <cell r="R60">
            <v>2</v>
          </cell>
          <cell r="S60" t="str">
            <v>CYP00135 - Record rejected - Educational Assessment Outcome has an incorrect data format. Local Patient Identifier (Extended)=&lt;C001901&gt;
CYP00136 - Warning - Educational Assessment Outcome contains an invalid Educational Assessment Outcome.  Local Patient Identifier (Extended)=&lt;C001901&gt; Educational Assessment Outcome =&lt;C001160&gt;</v>
          </cell>
        </row>
        <row r="61">
          <cell r="A61" t="str">
            <v>C001170</v>
          </cell>
          <cell r="B61" t="str">
            <v>C001</v>
          </cell>
          <cell r="C61" t="str">
            <v>170</v>
          </cell>
          <cell r="D61" t="str">
            <v>C001170_1</v>
          </cell>
          <cell r="E61" t="str">
            <v>CYP001MPI</v>
          </cell>
          <cell r="F61" t="str">
            <v>PREFERRED DEATH LOCATION DISCUSSED INDICATOR</v>
          </cell>
          <cell r="G61">
            <v>0</v>
          </cell>
          <cell r="H61">
            <v>60</v>
          </cell>
          <cell r="I61" t="str">
            <v>An indication of whether the preferred location of death was discussed with a patient or proxy by a clinician, in the event that there is an expected risk of death before the age of 18 for that person.</v>
          </cell>
          <cell r="J61" t="str">
            <v>an1</v>
          </cell>
          <cell r="K61" t="str">
            <v>N/A</v>
          </cell>
          <cell r="L61" t="str">
            <v>Reject</v>
          </cell>
          <cell r="M61" t="str">
            <v>Warning</v>
          </cell>
          <cell r="O61" t="str">
            <v>All to analyse by field</v>
          </cell>
          <cell r="P61" t="str">
            <v>To monitor volumne of people where the preferred death location was discussed</v>
          </cell>
          <cell r="Q61" t="str">
            <v>R</v>
          </cell>
          <cell r="R61">
            <v>2</v>
          </cell>
          <cell r="S61" t="str">
            <v>CYP00157 - Record rejected - Preferred Death Location Discussed Indicator has an incorrect data format. Local Patient Identifier (Extended)=&lt;C001901&gt; 
CYP00158 - Warning - Preferred Death Location Discussed Indicator contains an invalid Preferred Death Location Discussed Indicator.  Local Patient Identifier (Extended)=&lt;C001901&gt; Preferred Death Location Discussed Indicator=&lt;C001170&gt;</v>
          </cell>
        </row>
        <row r="62">
          <cell r="A62" t="str">
            <v>C001180</v>
          </cell>
          <cell r="B62" t="str">
            <v>C001</v>
          </cell>
          <cell r="C62" t="str">
            <v>180</v>
          </cell>
          <cell r="D62" t="str">
            <v>C001180_1</v>
          </cell>
          <cell r="E62" t="str">
            <v>CYP001MPI</v>
          </cell>
          <cell r="F62" t="str">
            <v>PERSON AT RISK OF UNEXPECTED DEATH INDICATOR</v>
          </cell>
          <cell r="G62">
            <v>0</v>
          </cell>
          <cell r="H62">
            <v>61</v>
          </cell>
          <cell r="I62" t="str">
            <v>An indication of whether a patient is at risk of sudden, unexpected death before the age of 18, as assessed by a clinician.</v>
          </cell>
          <cell r="J62" t="str">
            <v>an1</v>
          </cell>
          <cell r="K62" t="str">
            <v>N/A</v>
          </cell>
          <cell r="L62" t="str">
            <v>Reject</v>
          </cell>
          <cell r="M62" t="str">
            <v>Warning</v>
          </cell>
          <cell r="O62" t="str">
            <v>All to analyse by field</v>
          </cell>
          <cell r="P62" t="str">
            <v>Used to compare outcomes and provision for children/young people with at risk of unexpected death</v>
          </cell>
          <cell r="Q62" t="str">
            <v>R</v>
          </cell>
          <cell r="R62">
            <v>2</v>
          </cell>
          <cell r="S62" t="str">
            <v>CYP00155 - Record rejected - Person At Risk Of Unexpected Death Indicator has an incorrect data format. Local Patient Identifier (Extended)=&lt;C001901&gt; 
CYP00156 - Warning - Person At Risk Of Unexpected Death Indicator contains an invalid Person At Risk Of Unexpected Death Indicator.  Local Patient Identifier (Extended)=&lt;C001901&gt; Person At Risk Of Unexpected Death Indicator=&lt;C001180&gt;</v>
          </cell>
        </row>
        <row r="63">
          <cell r="A63" t="str">
            <v>C001190</v>
          </cell>
          <cell r="B63" t="str">
            <v>C001</v>
          </cell>
          <cell r="C63" t="str">
            <v>190</v>
          </cell>
          <cell r="D63" t="str">
            <v>C001190_1</v>
          </cell>
          <cell r="E63" t="str">
            <v>CYP001MPI</v>
          </cell>
          <cell r="F63" t="str">
            <v>DEATH LOCATION TYPE CODE (PREFERRED)</v>
          </cell>
          <cell r="G63">
            <v>0</v>
          </cell>
          <cell r="H63">
            <v>62</v>
          </cell>
          <cell r="I63" t="str">
            <v>The preferred location of death as specified by the PATIENT.</v>
          </cell>
          <cell r="J63" t="str">
            <v>an2</v>
          </cell>
          <cell r="K63" t="str">
            <v>N/A</v>
          </cell>
          <cell r="L63" t="str">
            <v>Reject</v>
          </cell>
          <cell r="M63" t="str">
            <v>Warning</v>
          </cell>
          <cell r="O63" t="str">
            <v>All to analyse by field</v>
          </cell>
          <cell r="P63" t="str">
            <v>Used to compare outcomes depending on preferred location type and difference between preferred and acual death location</v>
          </cell>
          <cell r="Q63" t="str">
            <v>R</v>
          </cell>
          <cell r="R63">
            <v>2</v>
          </cell>
          <cell r="S63" t="str">
            <v>CYP00140 - Record rejected - Death Location Type Code (Preferred) has an incorrect data format. Local Patient Identifier (Extended)=&lt;C001901&gt;
CYP00141 - Warning - Death Location Type Code (Preferred) contains an invalid Death Location Type Code (Preferred). Local Patient Identifier (Extended)=&lt;C001901&gt; Death Location Type Code (Preferred)=&lt;C001190&gt;</v>
          </cell>
        </row>
        <row r="64">
          <cell r="A64" t="str">
            <v>C001200</v>
          </cell>
          <cell r="B64" t="str">
            <v>C001</v>
          </cell>
          <cell r="C64" t="str">
            <v>200</v>
          </cell>
          <cell r="D64" t="str">
            <v>C001200_1</v>
          </cell>
          <cell r="E64" t="str">
            <v>CYP001MPI</v>
          </cell>
          <cell r="F64" t="str">
            <v>PERSON DEATH DATE</v>
          </cell>
          <cell r="G64">
            <v>0</v>
          </cell>
          <cell r="H64">
            <v>63</v>
          </cell>
          <cell r="I64" t="str">
            <v>The date on which a person died or is officially deemed to have died, as recorded on the death certificate.</v>
          </cell>
          <cell r="J64" t="str">
            <v>an10
CCYY-MM-DD</v>
          </cell>
          <cell r="K64" t="str">
            <v>N/A</v>
          </cell>
          <cell r="L64" t="str">
            <v>Reject</v>
          </cell>
          <cell r="M64" t="str">
            <v>N/A</v>
          </cell>
          <cell r="N64" t="str">
            <v>If PERSON DEATH DATE is populated and is before the start of the reporting period, the entire record will be rejected.
If PERSON DEATH DATE is populated and is after the end of the reporting period, then a warning will be output.</v>
          </cell>
          <cell r="O64" t="str">
            <v>8.5.15.1</v>
          </cell>
          <cell r="P64" t="str">
            <v>Used for temporal queries, e.g. children that died between two dates</v>
          </cell>
          <cell r="Q64" t="str">
            <v>R</v>
          </cell>
          <cell r="R64">
            <v>3</v>
          </cell>
          <cell r="S64" t="str">
            <v>CYP00137 - Record rejected - Person Death Date has an incorrect data format. Local Patient Identifier (Extended)=&lt;C001901&gt;
CYP00138 - Record rejected - Person Death Date contains a Person Death Date that is before the start of the reporting period. Local Patient Identifier (Extended)=&lt;C001901&gt; Person Death Date=&lt;C001200&gt;
CYP00139 - Warning - Person Death Date contains a Person Death Date that falls after the end of the Reporting Period. Local Patient Identifier (Extended)=&lt;C001901&gt; Person Death Date=&lt;C001200&gt;</v>
          </cell>
        </row>
        <row r="65">
          <cell r="A65" t="str">
            <v>C001210</v>
          </cell>
          <cell r="B65" t="str">
            <v>C001</v>
          </cell>
          <cell r="C65" t="str">
            <v>210</v>
          </cell>
          <cell r="D65" t="str">
            <v>C001210_1</v>
          </cell>
          <cell r="E65" t="str">
            <v>CYP001MPI</v>
          </cell>
          <cell r="F65" t="str">
            <v>DEATH LOCATION TYPE CODE (ACTUAL)</v>
          </cell>
          <cell r="G65">
            <v>0</v>
          </cell>
          <cell r="H65">
            <v>64</v>
          </cell>
          <cell r="I65" t="str">
            <v>The actual location where the PATIENT died.</v>
          </cell>
          <cell r="J65" t="str">
            <v>an2</v>
          </cell>
          <cell r="K65" t="str">
            <v>N/A</v>
          </cell>
          <cell r="L65" t="str">
            <v>Reject</v>
          </cell>
          <cell r="M65" t="str">
            <v>Warning</v>
          </cell>
          <cell r="N65" t="str">
            <v xml:space="preserve">If PERSON DEATH DATE is populated and the DEATH LOCATION TYPE(ACTUAL) is blank, then a warning message will be generated.
</v>
          </cell>
          <cell r="O65" t="str">
            <v>All to analyse by field</v>
          </cell>
          <cell r="P65" t="str">
            <v>Used to compare outcomes depending on actual location type and difference between preferred and acual death location</v>
          </cell>
          <cell r="Q65" t="str">
            <v>R</v>
          </cell>
          <cell r="R65">
            <v>4</v>
          </cell>
          <cell r="S65" t="str">
            <v>CYP00142 - Record rejected - Death Location Type Code (Actual) has an incorrect data format. Local Patient Identifier (Extended)=&lt;C001901&gt;
CYP00143 - Warning - Death Location Type Code (Actual) contains an invalid Death Location Type Code (Actual). Local Patient Identifier (Extended)=&lt;C001901&gt; Death Location Type Code (Actual)=&lt;C001210&gt;
CYP00144 - Warning - PERSON DEATH DATE is populated but the Death Location Type Code (Actual) is blank. Local Patient Identifier (Extended)=&lt;C001901&gt; 
CYP00166 - Warning - Death Location Type Code (Actual) is populated but the PERSON DEATH DATE is blank. Local Patient Identifier (Extended)=&lt;C001901&gt; Death Location Type Code (Actual)=&lt;C001210&gt;</v>
          </cell>
        </row>
        <row r="66">
          <cell r="A66" t="str">
            <v>C001220</v>
          </cell>
          <cell r="B66" t="str">
            <v>C001</v>
          </cell>
          <cell r="C66" t="str">
            <v>220</v>
          </cell>
          <cell r="D66" t="str">
            <v>C001220_1</v>
          </cell>
          <cell r="E66" t="str">
            <v>CYP001MPI</v>
          </cell>
          <cell r="F66" t="str">
            <v xml:space="preserve">DEATH NOT AT PREFERRED LOCATION REASON </v>
          </cell>
          <cell r="G66">
            <v>0</v>
          </cell>
          <cell r="H66">
            <v>65</v>
          </cell>
          <cell r="I66" t="str">
            <v xml:space="preserve">This will indicate the reason why the person did not die at their preferred LOCATION of death.
</v>
          </cell>
          <cell r="J66" t="str">
            <v>an2</v>
          </cell>
          <cell r="K66" t="str">
            <v>N/A</v>
          </cell>
          <cell r="L66" t="str">
            <v>Reject</v>
          </cell>
          <cell r="M66" t="str">
            <v>Warning</v>
          </cell>
          <cell r="N66" t="str">
            <v>If DEATH NOT AT PREFERRED LOCATION REASON is populated but the PERSON DEATH DATE is blank, then a warning message will be generated.</v>
          </cell>
          <cell r="O66" t="str">
            <v>All to analyse by field</v>
          </cell>
          <cell r="P66" t="str">
            <v>For analysis on why the person did not die at the preferred place of death</v>
          </cell>
          <cell r="Q66" t="str">
            <v>R</v>
          </cell>
          <cell r="R66">
            <v>3</v>
          </cell>
          <cell r="S66" t="str">
            <v>CYP00159 - Record rejected - Death Not At Preferred Location Reason Code has an incorrect data format. Local Patient Identifier (Extended)=&lt;C001901&gt; 
CYP00160 - Warning - Death Not At Preferred Location Reason Code contains an invalid Death Not At Preferred Location Reason Code.  Local Patient Identifier (Extended)=&lt;C001901&gt; Death Not At Preferred Location Reason Code&lt;C001220&gt;
CYP00167 - Warning - DEATH NOT AT PREFERRED LOCATION REASON is populated but the PERSON DEATH DATE is blank. Local Patient Identifier (Extended)=&lt;C001901&gt; Death Not At Preferred Location Reason=&lt;C001220&gt;</v>
          </cell>
        </row>
        <row r="67">
          <cell r="A67" t="str">
            <v>C001230</v>
          </cell>
          <cell r="B67" t="str">
            <v>C001</v>
          </cell>
          <cell r="C67" t="str">
            <v>230</v>
          </cell>
          <cell r="D67" t="str">
            <v>C001230_1</v>
          </cell>
          <cell r="E67" t="str">
            <v>CYP001MPI</v>
          </cell>
          <cell r="F67" t="str">
            <v>NHS NUMBER (MOTHER)</v>
          </cell>
          <cell r="G67">
            <v>0</v>
          </cell>
          <cell r="H67">
            <v>66</v>
          </cell>
          <cell r="I67" t="str">
            <v>NHS Number of the child's birth mother to link with the Maternity data set.</v>
          </cell>
          <cell r="J67" t="str">
            <v>n10</v>
          </cell>
          <cell r="K67" t="str">
            <v>Reject</v>
          </cell>
          <cell r="L67" t="str">
            <v>Reject</v>
          </cell>
          <cell r="M67" t="str">
            <v>N/A</v>
          </cell>
          <cell r="N67" t="str">
            <v>If NHS Number fails standard NHS number checks (Modulus-11 and check for disallowed numbers), the record will be rejected.</v>
          </cell>
          <cell r="O67" t="str">
            <v>1.2.1.10</v>
          </cell>
          <cell r="P67" t="str">
            <v>To link with Maternity data set to allow comparison of long term outcomes for children according to circumstances during pregnancy and birth</v>
          </cell>
          <cell r="Q67" t="str">
            <v>R</v>
          </cell>
          <cell r="R67">
            <v>4</v>
          </cell>
          <cell r="S67" t="str">
            <v>CYP00168 - Record rejected - NHS Number (Mother) is blank. Local Patient Identifier (Extended)=&lt;C001901&gt;
CYP00169 - Record rejected - NHS Number (Mother) has an incorrect data format. Local Patient Identifier (Extended)=&lt;C001901&gt;
CYP00170 - Record rejected - NHS Number (Mother) has failed validation. Local Patient Identifier (Extended)=&lt;C001901&gt; NHS Number (Mother)=&lt;C001230&gt;
CYP00172 - Warning - NHS Number (Mother) contains a value, but NHS Number Status Indicator Code (Mother) is "07 - Number not present and trace not required". Local Patient Identifier (Extended)=&lt;C001901&gt; NHS Number =&lt;C001040&gt; NHS Number Status Indicator Code =&lt;C001050&gt;</v>
          </cell>
        </row>
        <row r="68">
          <cell r="A68" t="str">
            <v>C001240</v>
          </cell>
          <cell r="B68" t="str">
            <v>C001</v>
          </cell>
          <cell r="C68" t="str">
            <v>240</v>
          </cell>
          <cell r="D68" t="str">
            <v>C001240_1</v>
          </cell>
          <cell r="E68" t="str">
            <v>CYP001MPI</v>
          </cell>
          <cell r="F68" t="str">
            <v>NHS NUMBER STATUS INDICATOR CODE (MOTHER)</v>
          </cell>
          <cell r="G68">
            <v>0</v>
          </cell>
          <cell r="H68">
            <v>67</v>
          </cell>
          <cell r="I68" t="str">
            <v>The NHS NUMBER STATUS INDICATOR of the mother</v>
          </cell>
          <cell r="J68" t="str">
            <v>an2</v>
          </cell>
          <cell r="K68" t="str">
            <v>N/A</v>
          </cell>
          <cell r="L68" t="str">
            <v>Reject</v>
          </cell>
          <cell r="M68" t="str">
            <v>Warning</v>
          </cell>
          <cell r="O68" t="str">
            <v>All to confirm status of mothers NHS Number</v>
          </cell>
          <cell r="P68" t="str">
            <v>Used to uniquely identify an individual</v>
          </cell>
          <cell r="Q68" t="str">
            <v>R</v>
          </cell>
          <cell r="R68">
            <v>5</v>
          </cell>
          <cell r="S68" t="str">
            <v>CYP00148 - Record rejected - NHS Number Status Indicator Code (Mother) has an incorrect data format. Local Patient Identifier (Extended)=&lt;C001901&gt; NHS Number (Mother)=&lt;C001230&gt;
CYP00149 - Warning - NHS Number Status Indicator Code (Mother) contains an invalid NHS Number Status Indicator Code (Mother). Local Patient Identifier (Extended)=&lt;C001901&gt; NHS Number Status Indicator Code (Mother)=&lt;C001240&gt;
CYP00173 - Warning - NHS Number (Mother) contains a value, and the NHS Number Status Indicator Code (Mother) is "07 - Number not present and trace not required". Local Patient Identifier =&lt;C001901&gt; NHS Number (Mother)= &lt;C001230&gt; NHS Number Status Indicator Code (Mother) = &lt;C001240&gt;
CYP00174 - Warning - NHS Number Status Indicator Code (Mother) should be mandatory where the NHS Number (Mother) provided is blank. Local Patient Identifier =&lt;C001901&gt;
CYP00175 - Warning - NHS Number (Mother) field is blank but the NHS Number Status Indicator Code (Mother) is a value other than '07'. Local Patient Identifier=&lt;C001901&gt;  NHS Number Status Indicator Code (Mother) =&lt;C001240&gt;</v>
          </cell>
        </row>
        <row r="69">
          <cell r="A69" t="str">
            <v>C001D01</v>
          </cell>
          <cell r="E69" t="str">
            <v>CYP001MPI</v>
          </cell>
          <cell r="F69" t="str">
            <v>RECORD NUMBER</v>
          </cell>
          <cell r="G69">
            <v>1</v>
          </cell>
          <cell r="H69">
            <v>68</v>
          </cell>
          <cell r="I69" t="str">
            <v>Record number in this extract file.</v>
          </cell>
          <cell r="J69" t="str">
            <v>max n6</v>
          </cell>
        </row>
        <row r="70">
          <cell r="A70" t="str">
            <v>C001D02</v>
          </cell>
          <cell r="E70" t="str">
            <v>CYP001MPI</v>
          </cell>
          <cell r="F70" t="str">
            <v>CYP001 UNIQUE ID</v>
          </cell>
          <cell r="G70">
            <v>1</v>
          </cell>
          <cell r="H70">
            <v>69</v>
          </cell>
          <cell r="I70" t="str">
            <v>A unique ID per table.  This continues across reporting periods and across providers.  This uniquely identifies a row of data within a table.</v>
          </cell>
          <cell r="J70" t="str">
            <v>min n6 max n20</v>
          </cell>
        </row>
        <row r="71">
          <cell r="A71" t="str">
            <v>C001D03</v>
          </cell>
          <cell r="E71" t="str">
            <v>CYP001MPI</v>
          </cell>
          <cell r="F71" t="str">
            <v>ORGANISATION CODE (PROVIDER)</v>
          </cell>
          <cell r="G71">
            <v>1</v>
          </cell>
          <cell r="H71">
            <v>70</v>
          </cell>
          <cell r="I71" t="str">
            <v>Organisation code of provider submitting the data.</v>
          </cell>
          <cell r="J71" t="str">
            <v>max an6</v>
          </cell>
        </row>
        <row r="72">
          <cell r="A72" t="str">
            <v>C001D04</v>
          </cell>
          <cell r="E72" t="str">
            <v>CYP001MPI</v>
          </cell>
          <cell r="F72" t="str">
            <v>ORGANISATION CODE (CCG OF RESIDENCE)</v>
          </cell>
          <cell r="G72">
            <v>1</v>
          </cell>
          <cell r="H72">
            <v>71</v>
          </cell>
          <cell r="I72" t="str">
            <v>The CCG of the patient's residence, as derived from data item POST CODE OF USUAL ADDRESS.</v>
          </cell>
          <cell r="J72" t="str">
            <v>an3 or an5</v>
          </cell>
        </row>
        <row r="73">
          <cell r="A73" t="str">
            <v>C001D05</v>
          </cell>
          <cell r="E73" t="str">
            <v>CYP001MPI</v>
          </cell>
          <cell r="F73" t="str">
            <v>UNIQUE CYPHS ID (PATIENT)</v>
          </cell>
          <cell r="G73">
            <v>1</v>
          </cell>
          <cell r="H73">
            <v>72</v>
          </cell>
          <cell r="I73" t="str">
            <v>A nationally unique ID for the patient in the CYPHS Data Set generated from an index held by the BSP.</v>
          </cell>
          <cell r="J73" t="str">
            <v>max n10</v>
          </cell>
        </row>
        <row r="74">
          <cell r="A74" t="str">
            <v>C001D06</v>
          </cell>
          <cell r="E74" t="str">
            <v>CYP001MPI</v>
          </cell>
          <cell r="F74" t="str">
            <v>UNIQUE CYPHS ID (MOTHER)</v>
          </cell>
          <cell r="G74">
            <v>1</v>
          </cell>
          <cell r="H74">
            <v>73</v>
          </cell>
          <cell r="I74" t="str">
            <v>A nationally unique ID for the mother of the patient generated from an index held by the BSP.</v>
          </cell>
          <cell r="J74" t="str">
            <v>max n10</v>
          </cell>
        </row>
        <row r="75">
          <cell r="A75" t="str">
            <v>C001D07</v>
          </cell>
          <cell r="E75" t="str">
            <v>CYP001MPI</v>
          </cell>
          <cell r="F75" t="str">
            <v>BSP UNIQUE ID</v>
          </cell>
          <cell r="G75">
            <v>1</v>
          </cell>
          <cell r="H75">
            <v>74</v>
          </cell>
          <cell r="I75" t="str">
            <v xml:space="preserve">A unique ID applied when original data file was uploaded to the Bureau Service Portal. Where a single upload is used to provide data for different reporting periods, there will be a separate BSPUniqueID assigned to each reporting period.  </v>
          </cell>
          <cell r="J75" t="str">
            <v>max n6</v>
          </cell>
        </row>
        <row r="76">
          <cell r="A76" t="str">
            <v>C001D08</v>
          </cell>
          <cell r="E76" t="str">
            <v>CYP001MPI</v>
          </cell>
          <cell r="F76" t="str">
            <v>AGE OF PATIENT AT REPORTING PERIOD START</v>
          </cell>
          <cell r="G76">
            <v>1</v>
          </cell>
          <cell r="H76">
            <v>75</v>
          </cell>
          <cell r="I76" t="str">
            <v>Derived by calculating REPORTING PERIOD START DATE minus PERSON BIRTH DATE.</v>
          </cell>
          <cell r="J76" t="str">
            <v>max n2</v>
          </cell>
        </row>
        <row r="77">
          <cell r="A77" t="str">
            <v>C001D09</v>
          </cell>
          <cell r="E77" t="str">
            <v>CYP001MPI</v>
          </cell>
          <cell r="F77" t="str">
            <v>AGE OF PATIENT AT REPORTING PERIOD END</v>
          </cell>
          <cell r="G77">
            <v>1</v>
          </cell>
          <cell r="H77">
            <v>76</v>
          </cell>
          <cell r="I77" t="str">
            <v>Derived by calculating REPORTING PERIOD END DATE minus PERSON BIRTH DATE.</v>
          </cell>
          <cell r="J77" t="str">
            <v>max n2</v>
          </cell>
        </row>
        <row r="78">
          <cell r="A78" t="str">
            <v>C001D10</v>
          </cell>
          <cell r="E78" t="str">
            <v>CYP001MPI</v>
          </cell>
          <cell r="F78" t="str">
            <v>AGE AT DEATH</v>
          </cell>
          <cell r="G78">
            <v>1</v>
          </cell>
          <cell r="H78">
            <v>77</v>
          </cell>
          <cell r="I78" t="str">
            <v>Age, in years, at time of death.</v>
          </cell>
          <cell r="J78" t="str">
            <v>max n2</v>
          </cell>
        </row>
        <row r="79">
          <cell r="A79" t="str">
            <v>C001D11</v>
          </cell>
          <cell r="E79" t="str">
            <v>CYP001MPI</v>
          </cell>
          <cell r="F79" t="str">
            <v xml:space="preserve">YEAR OF DEATH </v>
          </cell>
          <cell r="G79">
            <v>1</v>
          </cell>
          <cell r="H79">
            <v>78</v>
          </cell>
          <cell r="I79" t="str">
            <v>The year the patient died (where death occurred whilst the patient was still being cared for by the service).</v>
          </cell>
          <cell r="J79" t="str">
            <v>n4</v>
          </cell>
        </row>
        <row r="80">
          <cell r="A80" t="str">
            <v>C001D12</v>
          </cell>
          <cell r="E80" t="str">
            <v>CYP001MPI</v>
          </cell>
          <cell r="F80" t="str">
            <v>MONTH OF DEATH</v>
          </cell>
          <cell r="G80">
            <v>1</v>
          </cell>
          <cell r="H80">
            <v>79</v>
          </cell>
          <cell r="I80" t="str">
            <v>The month of the year the patient died (where death occurred whilst the patient was still being care for by the service).</v>
          </cell>
          <cell r="J80" t="str">
            <v>an2</v>
          </cell>
        </row>
        <row r="81">
          <cell r="A81" t="str">
            <v>C001D13</v>
          </cell>
          <cell r="E81" t="str">
            <v>CYP001MPI</v>
          </cell>
          <cell r="F81" t="str">
            <v>DAY OF WEEK OF DEATH</v>
          </cell>
          <cell r="G81">
            <v>1</v>
          </cell>
          <cell r="H81">
            <v>80</v>
          </cell>
          <cell r="I81" t="str">
            <v>The day of the week the patient died (where death occurred whilst the patient was still being care for by the service).</v>
          </cell>
          <cell r="J81" t="str">
            <v>an2</v>
          </cell>
        </row>
        <row r="82">
          <cell r="A82" t="str">
            <v>C001D14</v>
          </cell>
          <cell r="E82" t="str">
            <v>CYP001MPI</v>
          </cell>
          <cell r="F82" t="str">
            <v>MERIDIAN OF DEATH</v>
          </cell>
          <cell r="G82">
            <v>1</v>
          </cell>
          <cell r="H82">
            <v>81</v>
          </cell>
          <cell r="I82" t="str">
            <v>The meridian (i.e. AM or PM) the patient died (where death occurred before 28 completed days of birth).</v>
          </cell>
          <cell r="J82" t="str">
            <v>an2</v>
          </cell>
        </row>
        <row r="83">
          <cell r="A83" t="str">
            <v>C001D15</v>
          </cell>
          <cell r="E83" t="str">
            <v>CYP001MPI</v>
          </cell>
          <cell r="F83" t="str">
            <v>VALID NHS NUMBER FLAG</v>
          </cell>
          <cell r="G83">
            <v>1</v>
          </cell>
          <cell r="H83">
            <v>82</v>
          </cell>
          <cell r="I83" t="str">
            <v>''Y' if NHS number has passed validation and is not null in the submission, otherwise 'N'.</v>
          </cell>
          <cell r="J83" t="str">
            <v>an1</v>
          </cell>
        </row>
        <row r="84">
          <cell r="A84" t="str">
            <v>C001D16</v>
          </cell>
          <cell r="E84" t="str">
            <v>CYP001MPI</v>
          </cell>
          <cell r="F84" t="str">
            <v>VALID POSTCODE FLAG</v>
          </cell>
          <cell r="G84">
            <v>1</v>
          </cell>
          <cell r="H84">
            <v>83</v>
          </cell>
          <cell r="I84" t="str">
            <v>''Y' if postcode has passed validation and is not null in the pre deadline submission, otherwise 'N'.</v>
          </cell>
          <cell r="J84" t="str">
            <v>an1</v>
          </cell>
        </row>
        <row r="85">
          <cell r="A85" t="str">
            <v>C001D17</v>
          </cell>
          <cell r="E85" t="str">
            <v>CYP001MPI</v>
          </cell>
          <cell r="F85" t="str">
            <v xml:space="preserve">POSTCODE DISTRICT </v>
          </cell>
          <cell r="G85">
            <v>1</v>
          </cell>
          <cell r="H85">
            <v>84</v>
          </cell>
          <cell r="I85" t="str">
            <v>Postcode District of patient derived from POSTCODE OF USUAL ADDRESS and Gridall.</v>
          </cell>
          <cell r="J85" t="str">
            <v>an4</v>
          </cell>
        </row>
        <row r="86">
          <cell r="A86" t="str">
            <v>C001D18</v>
          </cell>
          <cell r="E86" t="str">
            <v>CYP001MPI</v>
          </cell>
          <cell r="F86" t="str">
            <v>LOWER SUPER OUTPUT AREA (RESIDENCE)</v>
          </cell>
          <cell r="G86">
            <v>1</v>
          </cell>
          <cell r="H86">
            <v>85</v>
          </cell>
          <cell r="I86" t="str">
            <v>Lower Super Output Area of patient, derived from POSTCODE OF USUAL ADDRESS and Gridall.</v>
          </cell>
          <cell r="J86" t="str">
            <v>an9</v>
          </cell>
        </row>
        <row r="87">
          <cell r="A87" t="str">
            <v>C001D19</v>
          </cell>
          <cell r="E87" t="str">
            <v>CYP001MPI</v>
          </cell>
          <cell r="F87" t="str">
            <v xml:space="preserve">LOCAL AUTHORITY DISTRICT/UNITARY AUTHORITY </v>
          </cell>
          <cell r="G87">
            <v>1</v>
          </cell>
          <cell r="H87">
            <v>86</v>
          </cell>
          <cell r="I87" t="str">
            <v>Local Authority District/Unitary Authority of patient, derived from POSTCODE OF USUAL ADDRESS and Gridall.</v>
          </cell>
          <cell r="J87" t="str">
            <v>an9</v>
          </cell>
        </row>
        <row r="88">
          <cell r="A88" t="str">
            <v>C001D20</v>
          </cell>
          <cell r="E88" t="str">
            <v>CYP001MPI</v>
          </cell>
          <cell r="F88" t="str">
            <v xml:space="preserve">CCG OF RESIDENCE </v>
          </cell>
          <cell r="G88">
            <v>1</v>
          </cell>
          <cell r="H88">
            <v>87</v>
          </cell>
          <cell r="I88" t="str">
            <v>Care Commissioning Group residential area of responsibility of patient, derived from POSTCODE OF USUAL ADDRESS and Gridall.</v>
          </cell>
          <cell r="J88" t="str">
            <v>an5</v>
          </cell>
        </row>
        <row r="89">
          <cell r="A89" t="str">
            <v>C001D21</v>
          </cell>
          <cell r="E89" t="str">
            <v>CYP001MPI</v>
          </cell>
          <cell r="F89" t="str">
            <v>COUNTY</v>
          </cell>
          <cell r="G89">
            <v>1</v>
          </cell>
          <cell r="H89">
            <v>88</v>
          </cell>
          <cell r="I89" t="str">
            <v>County of patient, derived from POSTCODE OF USUAL ADDRESS and Gridall.</v>
          </cell>
          <cell r="J89" t="str">
            <v>an9</v>
          </cell>
        </row>
        <row r="90">
          <cell r="A90" t="str">
            <v>C001D22</v>
          </cell>
          <cell r="E90" t="str">
            <v>CYP001MPI</v>
          </cell>
          <cell r="F90" t="str">
            <v>ELECTORAL WARD OF USUAL ADDRESS</v>
          </cell>
          <cell r="G90">
            <v>1</v>
          </cell>
          <cell r="H90">
            <v>89</v>
          </cell>
          <cell r="I90" t="str">
            <v>Electoral Ward of patient, derived from POSTCODE OF USUAL ADDRESS and Gridall.</v>
          </cell>
          <cell r="J90" t="str">
            <v>an9</v>
          </cell>
        </row>
        <row r="91">
          <cell r="A91" t="str">
            <v>C001D23</v>
          </cell>
          <cell r="E91" t="str">
            <v>CYP001MPI</v>
          </cell>
          <cell r="F91" t="str">
            <v>OVERALL INDEX OF MULTIPLE DEPRIVATION</v>
          </cell>
          <cell r="G91">
            <v>1</v>
          </cell>
          <cell r="H91">
            <v>90</v>
          </cell>
          <cell r="I91" t="str">
            <v>Overall index of multiple deprivation.</v>
          </cell>
          <cell r="J91" t="str">
            <v>max n2.max n2</v>
          </cell>
        </row>
        <row r="92">
          <cell r="A92" t="str">
            <v>C001D24</v>
          </cell>
          <cell r="E92" t="str">
            <v>CYP001MPI</v>
          </cell>
          <cell r="F92" t="str">
            <v>HEALTH INDEX OF MULTIPLE DEPRIVATION</v>
          </cell>
          <cell r="G92">
            <v>1</v>
          </cell>
          <cell r="H92">
            <v>91</v>
          </cell>
          <cell r="I92" t="str">
            <v>Health index of multiple deprivation.</v>
          </cell>
          <cell r="J92" t="str">
            <v>max n2.max n2</v>
          </cell>
        </row>
        <row r="93">
          <cell r="A93" t="str">
            <v>C001D25</v>
          </cell>
          <cell r="E93" t="str">
            <v>CYP001MPI</v>
          </cell>
          <cell r="F93" t="str">
            <v>CHILD INDEX OF MULTIPLE DEPRIVATION</v>
          </cell>
          <cell r="G93">
            <v>1</v>
          </cell>
          <cell r="H93">
            <v>92</v>
          </cell>
          <cell r="I93" t="str">
            <v>Child index of multiple deprivation.</v>
          </cell>
          <cell r="J93" t="str">
            <v>max n2.max n2</v>
          </cell>
        </row>
        <row r="94">
          <cell r="A94" t="str">
            <v>C001D26</v>
          </cell>
          <cell r="E94" t="str">
            <v>CYP001MPI</v>
          </cell>
          <cell r="F94" t="str">
            <v>RANK_IMD</v>
          </cell>
          <cell r="G94">
            <v>1</v>
          </cell>
          <cell r="H94">
            <v>93</v>
          </cell>
          <cell r="I94" t="str">
            <v>Rank for Index of Multiple Deprivation.</v>
          </cell>
          <cell r="J94" t="str">
            <v>n6</v>
          </cell>
        </row>
        <row r="95">
          <cell r="A95" t="str">
            <v>C001D27</v>
          </cell>
          <cell r="E95" t="str">
            <v>CYP001MPI</v>
          </cell>
          <cell r="F95" t="str">
            <v>RANK_IMD_DECILE</v>
          </cell>
          <cell r="G95">
            <v>1</v>
          </cell>
          <cell r="H95">
            <v>94</v>
          </cell>
          <cell r="I95" t="str">
            <v>Rank for Index of Multiple Deprivation - Decile.</v>
          </cell>
          <cell r="J95" t="str">
            <v>an20</v>
          </cell>
        </row>
        <row r="96">
          <cell r="A96" t="str">
            <v>C001D28</v>
          </cell>
          <cell r="E96" t="str">
            <v>CYP001MPI</v>
          </cell>
          <cell r="F96" t="str">
            <v>RANK_IMD_QUARTILE</v>
          </cell>
          <cell r="G96">
            <v>1</v>
          </cell>
          <cell r="H96">
            <v>95</v>
          </cell>
          <cell r="I96" t="str">
            <v>Rank for Index of Multiple Deprivation - Quartile.</v>
          </cell>
          <cell r="J96" t="str">
            <v>an20</v>
          </cell>
        </row>
        <row r="97">
          <cell r="A97" t="str">
            <v>C001D29</v>
          </cell>
          <cell r="E97" t="str">
            <v>CYP001MPI</v>
          </cell>
          <cell r="F97" t="str">
            <v>RANK_IMD_QUINTILE</v>
          </cell>
          <cell r="G97">
            <v>1</v>
          </cell>
          <cell r="H97">
            <v>96</v>
          </cell>
          <cell r="I97" t="str">
            <v>Rank for Index of Multiple Deprivation - Quintile.</v>
          </cell>
          <cell r="J97" t="str">
            <v>an20</v>
          </cell>
        </row>
        <row r="98">
          <cell r="A98" t="str">
            <v>C001D30</v>
          </cell>
          <cell r="E98" t="str">
            <v>CYP001MPI</v>
          </cell>
          <cell r="F98" t="str">
            <v>RANK_IMD_TERTILE</v>
          </cell>
          <cell r="G98">
            <v>1</v>
          </cell>
          <cell r="H98">
            <v>97</v>
          </cell>
          <cell r="I98" t="str">
            <v>Rank for Index of Multiple Deprivation - Tertile.</v>
          </cell>
          <cell r="J98" t="str">
            <v>an20</v>
          </cell>
        </row>
        <row r="99">
          <cell r="A99" t="str">
            <v>C001D31</v>
          </cell>
          <cell r="E99" t="str">
            <v>CYP001MPI</v>
          </cell>
          <cell r="F99" t="str">
            <v>RANK_HEALTH_DEP_DISABILITY</v>
          </cell>
          <cell r="G99">
            <v>1</v>
          </cell>
          <cell r="H99">
            <v>98</v>
          </cell>
          <cell r="I99" t="str">
            <v>Rank for Index of Multiple Deprivation - Health Dep Disability.</v>
          </cell>
          <cell r="J99" t="str">
            <v>n6</v>
          </cell>
        </row>
        <row r="100">
          <cell r="A100" t="str">
            <v>C001D32</v>
          </cell>
          <cell r="E100" t="str">
            <v>CYP001MPI</v>
          </cell>
          <cell r="F100" t="str">
            <v>RANK_HEALTH_DEP_DISABILITY_DECILE</v>
          </cell>
          <cell r="G100">
            <v>1</v>
          </cell>
          <cell r="H100">
            <v>99</v>
          </cell>
          <cell r="I100" t="str">
            <v>Rank for Index of Multiple Deprivation - Health Dep Disability - Decile.</v>
          </cell>
          <cell r="J100" t="str">
            <v>an20</v>
          </cell>
        </row>
        <row r="101">
          <cell r="A101" t="str">
            <v>C001D33</v>
          </cell>
          <cell r="E101" t="str">
            <v>CYP001MPI</v>
          </cell>
          <cell r="F101" t="str">
            <v>RANK_HEALTH_DEP_DISABILITY_QUARTILE</v>
          </cell>
          <cell r="G101">
            <v>1</v>
          </cell>
          <cell r="H101">
            <v>100</v>
          </cell>
          <cell r="I101" t="str">
            <v>Rank for Index of Multiple Deprivation - Health Dep Disability - Quartile.</v>
          </cell>
          <cell r="J101" t="str">
            <v>an20</v>
          </cell>
        </row>
        <row r="102">
          <cell r="A102" t="str">
            <v>C001D34</v>
          </cell>
          <cell r="E102" t="str">
            <v>CYP001MPI</v>
          </cell>
          <cell r="F102" t="str">
            <v>RANK_HEALTH_DEP_DISABILITY_QUINTILE</v>
          </cell>
          <cell r="G102">
            <v>1</v>
          </cell>
          <cell r="H102">
            <v>101</v>
          </cell>
          <cell r="I102" t="str">
            <v>Rank for Index of Multiple Deprivation - Health Dep Disability - Quintile.</v>
          </cell>
          <cell r="J102" t="str">
            <v>an20</v>
          </cell>
        </row>
        <row r="103">
          <cell r="A103" t="str">
            <v>C001D35</v>
          </cell>
          <cell r="E103" t="str">
            <v>CYP001MPI</v>
          </cell>
          <cell r="F103" t="str">
            <v>RANK_HEALTH_DEP_DISABILITY_TERTILE</v>
          </cell>
          <cell r="G103">
            <v>1</v>
          </cell>
          <cell r="H103">
            <v>102</v>
          </cell>
          <cell r="I103" t="str">
            <v>Rank for Index of Multiple Deprivation - Health Dep Disability - Tertile.</v>
          </cell>
          <cell r="J103" t="str">
            <v>an20</v>
          </cell>
        </row>
        <row r="104">
          <cell r="A104" t="str">
            <v>C001D36</v>
          </cell>
          <cell r="E104" t="str">
            <v>CYP001MPI</v>
          </cell>
          <cell r="F104" t="str">
            <v>RANK_CHILDREN_SUBDOMAIN</v>
          </cell>
          <cell r="G104">
            <v>1</v>
          </cell>
          <cell r="H104">
            <v>103</v>
          </cell>
          <cell r="I104" t="str">
            <v>Rank for Index of Multiple Deprivation - Children Subdomain.</v>
          </cell>
          <cell r="J104" t="str">
            <v>n6</v>
          </cell>
        </row>
        <row r="105">
          <cell r="A105" t="str">
            <v>C001D37</v>
          </cell>
          <cell r="E105" t="str">
            <v>CYP001MPI</v>
          </cell>
          <cell r="F105" t="str">
            <v>RANK_CHILDREN_SUBDOMAIN_DECILE</v>
          </cell>
          <cell r="G105">
            <v>1</v>
          </cell>
          <cell r="H105">
            <v>104</v>
          </cell>
          <cell r="I105" t="str">
            <v>Rank for Index of Multiple Deprivation - Children Subdomain - Decile.</v>
          </cell>
          <cell r="J105" t="str">
            <v>an20</v>
          </cell>
        </row>
        <row r="106">
          <cell r="A106" t="str">
            <v>C001D38</v>
          </cell>
          <cell r="E106" t="str">
            <v>CYP001MPI</v>
          </cell>
          <cell r="F106" t="str">
            <v>RANK_CHILDREN_SUBDOMAIN_QUARTILE</v>
          </cell>
          <cell r="G106">
            <v>1</v>
          </cell>
          <cell r="H106">
            <v>105</v>
          </cell>
          <cell r="I106" t="str">
            <v>Rank for Index of Multiple Deprivation - Children Subdomain - Quartile.</v>
          </cell>
          <cell r="J106" t="str">
            <v>an20</v>
          </cell>
        </row>
        <row r="107">
          <cell r="A107" t="str">
            <v>C001D39</v>
          </cell>
          <cell r="E107" t="str">
            <v>CYP001MPI</v>
          </cell>
          <cell r="F107" t="str">
            <v>RANK_CHILDREN_SUBDOMAIN_QUINTILE</v>
          </cell>
          <cell r="G107">
            <v>1</v>
          </cell>
          <cell r="H107">
            <v>106</v>
          </cell>
          <cell r="I107" t="str">
            <v>Rank for Index of Multiple Deprivation - Children Subdomain - Quintile.</v>
          </cell>
          <cell r="J107" t="str">
            <v>an20</v>
          </cell>
        </row>
        <row r="108">
          <cell r="A108" t="str">
            <v>C001D40</v>
          </cell>
          <cell r="E108" t="str">
            <v>CYP001MPI</v>
          </cell>
          <cell r="F108" t="str">
            <v>RANK_CHILDREN_SUBDOMAIN_TERTILE</v>
          </cell>
          <cell r="G108">
            <v>1</v>
          </cell>
          <cell r="H108">
            <v>107</v>
          </cell>
          <cell r="I108" t="str">
            <v>Rank for Index of Multiple Deprivation - Children Subdomain - Tertile.</v>
          </cell>
          <cell r="J108" t="str">
            <v>an20</v>
          </cell>
        </row>
        <row r="109">
          <cell r="A109" t="str">
            <v>C001D41</v>
          </cell>
          <cell r="E109" t="str">
            <v>CYP001MPI</v>
          </cell>
          <cell r="F109" t="str">
            <v>RANK_IDACI</v>
          </cell>
          <cell r="G109">
            <v>1</v>
          </cell>
          <cell r="H109">
            <v>108</v>
          </cell>
          <cell r="I109" t="str">
            <v>Rank for Index of Multiple Deprivation - IDACI.</v>
          </cell>
          <cell r="J109" t="str">
            <v>n6</v>
          </cell>
        </row>
        <row r="110">
          <cell r="A110" t="str">
            <v>C001D42</v>
          </cell>
          <cell r="E110" t="str">
            <v>CYP001MPI</v>
          </cell>
          <cell r="F110" t="str">
            <v>RANK_IDACI_DECILE</v>
          </cell>
          <cell r="G110">
            <v>1</v>
          </cell>
          <cell r="H110">
            <v>109</v>
          </cell>
          <cell r="I110" t="str">
            <v>Rank for Index of Multiple Deprivation - IDACI - Decile.</v>
          </cell>
          <cell r="J110" t="str">
            <v>an20</v>
          </cell>
        </row>
        <row r="111">
          <cell r="A111" t="str">
            <v>C001D43</v>
          </cell>
          <cell r="E111" t="str">
            <v>CYP001MPI</v>
          </cell>
          <cell r="F111" t="str">
            <v>RANK_IDACI_QUARTILE</v>
          </cell>
          <cell r="G111">
            <v>1</v>
          </cell>
          <cell r="H111">
            <v>110</v>
          </cell>
          <cell r="I111" t="str">
            <v>Rank for Index of Multiple Deprivation - IDACI - Quartile.</v>
          </cell>
          <cell r="J111" t="str">
            <v>an20</v>
          </cell>
        </row>
        <row r="112">
          <cell r="A112" t="str">
            <v>C001D44</v>
          </cell>
          <cell r="E112" t="str">
            <v>CYP001MPI</v>
          </cell>
          <cell r="F112" t="str">
            <v>RANK_IDACI_QUINTILE</v>
          </cell>
          <cell r="G112">
            <v>1</v>
          </cell>
          <cell r="H112">
            <v>111</v>
          </cell>
          <cell r="I112" t="str">
            <v>Rank for Index of Multiple Deprivation - IDACI - Quintile.</v>
          </cell>
          <cell r="J112" t="str">
            <v>an20</v>
          </cell>
        </row>
        <row r="113">
          <cell r="A113" t="str">
            <v>C001D45</v>
          </cell>
          <cell r="E113" t="str">
            <v>CYP001MPI</v>
          </cell>
          <cell r="F113" t="str">
            <v>RANK_IDACI_TERTILE</v>
          </cell>
          <cell r="G113">
            <v>1</v>
          </cell>
          <cell r="H113">
            <v>112</v>
          </cell>
          <cell r="I113" t="str">
            <v>Rank for Index of Multiple Deprivation - IDACI - Tertile.</v>
          </cell>
          <cell r="J113" t="str">
            <v>an20</v>
          </cell>
        </row>
        <row r="114">
          <cell r="A114" t="str">
            <v>C002901</v>
          </cell>
          <cell r="B114" t="str">
            <v>C002</v>
          </cell>
          <cell r="C114" t="str">
            <v>901</v>
          </cell>
          <cell r="D114" t="str">
            <v>901_2</v>
          </cell>
          <cell r="E114" t="str">
            <v>CYP002GP</v>
          </cell>
          <cell r="F114" t="str">
            <v>LOCAL PATIENT IDENTIFIER (EXTENDED)</v>
          </cell>
          <cell r="G114">
            <v>0</v>
          </cell>
          <cell r="H114">
            <v>113</v>
          </cell>
          <cell r="I114" t="str">
            <v>This is a number used to identify a PATIENT uniquely within a Health Care Provider. It may be different from the PATIENT's casenote number and may be assigned automatically by the computer system.</v>
          </cell>
          <cell r="J114" t="str">
            <v>max an20</v>
          </cell>
          <cell r="K114" t="str">
            <v>Reject</v>
          </cell>
          <cell r="L114" t="str">
            <v>Reject</v>
          </cell>
          <cell r="M114" t="str">
            <v>N/A</v>
          </cell>
          <cell r="O114" t="str">
            <v>All to identify individual</v>
          </cell>
          <cell r="P114" t="str">
            <v>Used to uniquely identify an individual</v>
          </cell>
          <cell r="Q114" t="str">
            <v>M</v>
          </cell>
          <cell r="R114">
            <v>2</v>
          </cell>
          <cell r="S114" t="str">
            <v>CYP00203 - Record rejected - Local Patient Identifier (Extended) is blank. 
CYP00204 - Record rejected - Local Patient Identifier (Extended) has an incorrect data format. Local Patient Identifier (Extended)=&lt;C002901&gt;</v>
          </cell>
        </row>
        <row r="115">
          <cell r="A115" t="str">
            <v>C002010</v>
          </cell>
          <cell r="B115" t="str">
            <v>C002</v>
          </cell>
          <cell r="C115" t="str">
            <v>010</v>
          </cell>
          <cell r="D115" t="str">
            <v>C002010_1</v>
          </cell>
          <cell r="E115" t="str">
            <v>CYP002GP</v>
          </cell>
          <cell r="F115" t="str">
            <v>GENERAL MEDICAL PRACTICE CODE (PATIENT REGISTRATION)</v>
          </cell>
          <cell r="G115">
            <v>0</v>
          </cell>
          <cell r="H115">
            <v>114</v>
          </cell>
          <cell r="I115" t="str">
            <v>The ORGANISATION CODE of the GP Practice that the PATIENT is registered with.</v>
          </cell>
          <cell r="J115" t="str">
            <v>an6</v>
          </cell>
          <cell r="K115" t="str">
            <v>Reject</v>
          </cell>
          <cell r="L115" t="str">
            <v>Reject</v>
          </cell>
          <cell r="M115" t="str">
            <v>Warning</v>
          </cell>
          <cell r="N115" t="str">
            <v>If ORGCODEGMP is not in national organisation tables as an "open" organisation, a warning will be reported.
If default codes V81997, V81998 or V81999 code is used then output a specific warning for the code to say it is not in the National Code tables.</v>
          </cell>
          <cell r="O115" t="str">
            <v>1.3.1</v>
          </cell>
          <cell r="P115" t="str">
            <v>Used to identify CCG and registration with a GP</v>
          </cell>
          <cell r="Q115" t="str">
            <v>M</v>
          </cell>
          <cell r="R115">
            <v>7</v>
          </cell>
          <cell r="S115" t="str">
            <v>CYP00205 - Record rejected - General Medical Practice Code (Patient Registration) is blank. Local Patient Identifier (Extended)=&lt;C002901&gt;
CYP00206 - Record rejected - General Medical Practice Code (Patient Registration) has an incorrect data format. Local Patient Identifier (Extended)=&lt;C002901&gt;
CYP00207 - Warning - General Medical Practice Code (Patient Registration) provided is not in National Code tables. Local Patient Identifier (Extended)=&lt;C002901&gt; General Medical Practice Code (Patient Registration)=&lt;C002010&gt;
CYP00224 - Warning - General Medical Practice Code (Patient Registration) provided is not classified in National Code tables as being "open". Local Patient Identifier (Extended)=&lt;C002901&gt; General Medical Practice Code (Patient Registration)=&lt;C002010&gt;
CYP00208 - Warning - V81997 (No Registered GP Practice) - provided is not in National Code tables. Local Patient Identifier (Extended)=&lt;C002901&gt; General Medical Practice Code (Patient Registration)=&lt;C002010&gt;
CYP00209 - Warning - Default code V81998 (GP Practice Code not applicable) - provided is not in National Code tables. Local Patient Identifier (Extended)=&lt;C002901&gt; General Medical Practice Code (Patient Registration)=&lt;C002010&gt;
CYP00210 - Warning - V81999 (GP Practice Code not known) provided is not in National Code tables. Local Patient Identifier (Extended)=&lt;C002901&gt; General Medical Practice Code (Patient Registration)=&lt;C002010&gt;</v>
          </cell>
        </row>
        <row r="116">
          <cell r="A116" t="str">
            <v>C002020</v>
          </cell>
          <cell r="B116" t="str">
            <v>C002</v>
          </cell>
          <cell r="C116" t="str">
            <v>020</v>
          </cell>
          <cell r="D116" t="str">
            <v>C002020_1</v>
          </cell>
          <cell r="E116" t="str">
            <v>CYP002GP</v>
          </cell>
          <cell r="F116" t="str">
            <v>START DATE (GMP PATIENT REGISTRATION)</v>
          </cell>
          <cell r="G116">
            <v>0</v>
          </cell>
          <cell r="H116">
            <v>115</v>
          </cell>
          <cell r="I116" t="str">
            <v xml:space="preserve">Start Date on which the PERSON registered with a General Medical Practitioner Practice. </v>
          </cell>
          <cell r="J116" t="str">
            <v>an10
CCYY-MM-DD</v>
          </cell>
          <cell r="K116" t="str">
            <v>N/A</v>
          </cell>
          <cell r="L116" t="str">
            <v>Reject</v>
          </cell>
          <cell r="M116" t="str">
            <v>N/A</v>
          </cell>
          <cell r="N116" t="str">
            <v xml:space="preserve">If START DATE is after the end of the reporting period + 1 day, the record will be rejected.
If START DATE is before the Child's DATE OF BIRTH (as included in the CYP001), the record will be rejected.
</v>
          </cell>
          <cell r="O116" t="str">
            <v>1.3.1</v>
          </cell>
          <cell r="P116" t="str">
            <v>Used to allow temporal analysis of registration with a GP</v>
          </cell>
          <cell r="Q116" t="str">
            <v>R</v>
          </cell>
          <cell r="R116">
            <v>3</v>
          </cell>
          <cell r="S116" t="str">
            <v>CYP00212 - Record rejected - Start Date (GMP Patient Registration) has an incorrect data format. Local Patient Identifier (Extended)=&lt;C002901&gt;
CYP00213 - Record rejected - Start Date (GMP Patient Registration) is after the end of the reporting period + 1 day. Local Patient Identifier (Extended)=&lt;C002901&gt; Start Date (GMP Patient Registration)=&lt;C002020&gt;
CYP00214 - Record rejected - Start Date (GMP Patient Registration) is before the patient's Date of Birth. Local Patient Identifier (Extended)=&lt;C002901&gt; Start Date (GMP Patient Registration)=&lt;C002020&gt;</v>
          </cell>
        </row>
        <row r="117">
          <cell r="A117" t="str">
            <v>C002030</v>
          </cell>
          <cell r="B117" t="str">
            <v>C002</v>
          </cell>
          <cell r="C117" t="str">
            <v>030</v>
          </cell>
          <cell r="D117" t="str">
            <v>C002030_1</v>
          </cell>
          <cell r="E117" t="str">
            <v>CYP002GP</v>
          </cell>
          <cell r="F117" t="str">
            <v>END DATE (GMP PATIENT REGISTRATION)</v>
          </cell>
          <cell r="G117">
            <v>0</v>
          </cell>
          <cell r="H117">
            <v>116</v>
          </cell>
          <cell r="I117" t="str">
            <v>The DATE on which the PERSON ceased to be registered with a General Medical Practitioner Practice.</v>
          </cell>
          <cell r="J117" t="str">
            <v>an10
ccyy-mm-dd</v>
          </cell>
          <cell r="K117" t="str">
            <v>N/A</v>
          </cell>
          <cell r="L117" t="str">
            <v>Reject</v>
          </cell>
          <cell r="M117" t="str">
            <v>N/A</v>
          </cell>
          <cell r="N117" t="str">
            <v>Validations if END DATE is populated:
If EndDateGMPRegistration is before the start of the reporting period, the record will be rejected.
If EndDateGMPRegistration is after the end of the reporting period, the record will be rejected.
If EndDateGMPRegistration is before the START DATE, the record will be rejected.</v>
          </cell>
          <cell r="O117" t="str">
            <v>1.3.1</v>
          </cell>
          <cell r="P117" t="str">
            <v>Used to allow temporal analysis of registration with a GP</v>
          </cell>
          <cell r="Q117" t="str">
            <v>R</v>
          </cell>
          <cell r="R117">
            <v>4</v>
          </cell>
          <cell r="S117" t="str">
            <v>CYP00215 - Record rejected - End Date (GMP Patient Registration) has an incorrect data format. Local Patient Identifier (Extended)=&lt;C002901&gt;
CYP00216 - Record rejected - End Date (GMP Patient Registration) is before the start date of the reporting period. Local Patient Identifier (Extended)=&lt;C002901&gt; End Date (GMP Patient Registration)=&lt;C002030&gt;
CYP00217 - Record rejected - End Date (GMP Patient Registration) is after the end date of the reporting period. Local Patient Identifier (Extended)=&lt;C002901&gt; End Date (GMP Patient Registration)=&lt;C002030&gt;
CYP00218 - Record rejected - End Date (GMP Patient Registration) is before the Start Date (GMP Patient Registration). Local Patient Identifier (Extended)=&lt;C002901&gt; End Date (GMP Patient Registration)=&lt;C002030&gt;</v>
          </cell>
        </row>
        <row r="118">
          <cell r="A118" t="str">
            <v>C002040</v>
          </cell>
          <cell r="B118" t="str">
            <v>C002</v>
          </cell>
          <cell r="C118" t="str">
            <v>040</v>
          </cell>
          <cell r="D118" t="str">
            <v>C002040_1</v>
          </cell>
          <cell r="E118" t="str">
            <v>CYP002GP</v>
          </cell>
          <cell r="F118" t="str">
            <v>ORGANISATION CODE (GP PRACTICE RESPONSIBILITY)</v>
          </cell>
          <cell r="G118">
            <v>0</v>
          </cell>
          <cell r="H118">
            <v>117</v>
          </cell>
          <cell r="I118" t="str">
            <v>The ORGANISATION CODE of the ORGANISATION responsible for the GP Practice where the PATIENT is registered, irrespective of whether they reside within the boundary of the Clinical Commissioning Group.</v>
          </cell>
          <cell r="J118" t="str">
            <v xml:space="preserve">an3 </v>
          </cell>
          <cell r="K118" t="str">
            <v>Warning</v>
          </cell>
          <cell r="L118" t="str">
            <v>Reject</v>
          </cell>
          <cell r="M118" t="str">
            <v>Warning</v>
          </cell>
          <cell r="N118" t="str">
            <v>If Organisation Code (GP Practice Responsibility) is not in national organisation tables a warning will be generated.
If Organisation Code (GP Practice Responsibility) is blank, then a warning will be generated.</v>
          </cell>
          <cell r="O118" t="str">
            <v>Used to analyse by commisioner</v>
          </cell>
          <cell r="P118" t="str">
            <v>Required for identifying the Commissioner responsible for payment</v>
          </cell>
          <cell r="Q118" t="str">
            <v>R</v>
          </cell>
          <cell r="R118">
            <v>3</v>
          </cell>
          <cell r="S118" t="str">
            <v xml:space="preserve">CYP00219 - Record rejected - Organisation Code (GP Practice Responsibility) has incorrect data format. Local Patient Identifier (Extended)=&lt;C002901&gt;
CYP00220 - Warning - Organisation Code (GP Practice Responsibility) provided is not in National Code tables. Local Patient Identifier (Extended)=&lt;C002901&gt;
CYP00223 - Warning - Organisation Code (GP Practice Responsibility) is blank. Local Patient Identifier (Extended)=&lt;C002901&gt; </v>
          </cell>
        </row>
        <row r="119">
          <cell r="A119" t="str">
            <v>C002D01</v>
          </cell>
          <cell r="E119" t="str">
            <v>CYP002GP</v>
          </cell>
          <cell r="F119" t="str">
            <v>RECORD NUMBER</v>
          </cell>
          <cell r="G119">
            <v>1</v>
          </cell>
          <cell r="H119">
            <v>118</v>
          </cell>
          <cell r="I119" t="str">
            <v>Record number in this extract file</v>
          </cell>
          <cell r="J119" t="str">
            <v>max n6</v>
          </cell>
        </row>
        <row r="120">
          <cell r="A120" t="str">
            <v>C002D02</v>
          </cell>
          <cell r="E120" t="str">
            <v>CYP002GP</v>
          </cell>
          <cell r="F120" t="str">
            <v>CYP002 UNIQUE ID</v>
          </cell>
          <cell r="G120">
            <v>1</v>
          </cell>
          <cell r="H120">
            <v>119</v>
          </cell>
          <cell r="I120" t="str">
            <v>A unique ID per table.  This continues across reporting periods and across providers.  This uniquely identifies a row of data within a table.</v>
          </cell>
          <cell r="J120" t="str">
            <v>min n6 max n20</v>
          </cell>
        </row>
        <row r="121">
          <cell r="A121" t="str">
            <v>C002D03</v>
          </cell>
          <cell r="E121" t="str">
            <v>CYP002GP</v>
          </cell>
          <cell r="F121" t="str">
            <v>ORGANISATION CODE (PROVIDER)</v>
          </cell>
          <cell r="G121">
            <v>1</v>
          </cell>
          <cell r="H121">
            <v>120</v>
          </cell>
          <cell r="I121" t="str">
            <v>Organisation code of provider submitting the data</v>
          </cell>
          <cell r="J121" t="str">
            <v>max an6</v>
          </cell>
        </row>
        <row r="122">
          <cell r="A122" t="str">
            <v>C002D04</v>
          </cell>
          <cell r="E122" t="str">
            <v>CYP002GP</v>
          </cell>
          <cell r="F122" t="str">
            <v>UNIQUE CYPHS ID (PATIENT)</v>
          </cell>
          <cell r="G122">
            <v>1</v>
          </cell>
          <cell r="H122">
            <v>121</v>
          </cell>
          <cell r="I122" t="str">
            <v>A nationally unique ID for the patient in the CYPHS Data Set generated from an index held by the BSP.</v>
          </cell>
          <cell r="J122" t="str">
            <v>max n10</v>
          </cell>
        </row>
        <row r="123">
          <cell r="A123" t="str">
            <v>C002D05</v>
          </cell>
          <cell r="E123" t="str">
            <v>CYP002GP</v>
          </cell>
          <cell r="F123" t="str">
            <v>BSP UNIQUE ID</v>
          </cell>
          <cell r="G123">
            <v>1</v>
          </cell>
          <cell r="H123">
            <v>122</v>
          </cell>
          <cell r="I123" t="str">
            <v xml:space="preserve">A unique ID applied when original data file was uploaded to the Bureau Service Portal. Where a single upload is used to provide data for different reporting periods, there will be a separate BSPUniqueID assigned to each reporting period.  </v>
          </cell>
          <cell r="J123" t="str">
            <v>max n6</v>
          </cell>
        </row>
        <row r="124">
          <cell r="A124" t="str">
            <v>C002D06</v>
          </cell>
          <cell r="E124" t="str">
            <v>CYP002GP</v>
          </cell>
          <cell r="F124" t="str">
            <v>ORGANISATION CODE (CCG OF GP PRACTICE)</v>
          </cell>
          <cell r="G124">
            <v>1</v>
          </cell>
          <cell r="H124">
            <v>123</v>
          </cell>
          <cell r="I124" t="str">
            <v>The CCG of the patient's registered GP Practice, as derived from data item GENERAL MEDICAL PRACTICE CODE (PATIENT REGISTRATION)</v>
          </cell>
          <cell r="J124" t="str">
            <v>an5</v>
          </cell>
        </row>
        <row r="125">
          <cell r="A125" t="str">
            <v>C002D07</v>
          </cell>
          <cell r="E125" t="str">
            <v>CYP002GP</v>
          </cell>
          <cell r="F125" t="str">
            <v>GP DISTANCE FROM HOME</v>
          </cell>
          <cell r="G125">
            <v>1</v>
          </cell>
          <cell r="H125">
            <v>124</v>
          </cell>
          <cell r="I125" t="str">
            <v>GP Distance From Home</v>
          </cell>
          <cell r="J125" t="str">
            <v>max n4</v>
          </cell>
        </row>
        <row r="126">
          <cell r="A126" t="str">
            <v>C003901</v>
          </cell>
          <cell r="B126" t="str">
            <v>C003</v>
          </cell>
          <cell r="C126" t="str">
            <v>901</v>
          </cell>
          <cell r="D126" t="str">
            <v>901_3</v>
          </cell>
          <cell r="E126" t="str">
            <v>CYP003AccommType</v>
          </cell>
          <cell r="F126" t="str">
            <v>LOCAL PATIENT IDENTIFIER (EXTENDED)</v>
          </cell>
          <cell r="G126">
            <v>0</v>
          </cell>
          <cell r="H126">
            <v>125</v>
          </cell>
          <cell r="I126" t="str">
            <v>This is a number used to identify a PATIENT uniquely within a Health Care Provider. It may be different from the PATIENT's casenote number and may be assigned automatically by the computer system.</v>
          </cell>
          <cell r="J126" t="str">
            <v>max an20</v>
          </cell>
          <cell r="K126" t="str">
            <v>Reject</v>
          </cell>
          <cell r="L126" t="str">
            <v>Reject</v>
          </cell>
          <cell r="M126" t="str">
            <v>N/A</v>
          </cell>
          <cell r="O126" t="str">
            <v>All to identify individual</v>
          </cell>
          <cell r="P126" t="str">
            <v>Used to uniquely identify an individual</v>
          </cell>
          <cell r="Q126" t="str">
            <v>M</v>
          </cell>
          <cell r="R126">
            <v>2</v>
          </cell>
          <cell r="S126" t="str">
            <v>CYP00302 - Record rejected - Local Patient Identifier (Extended) is blank.
CYP00303 - Record rejected - Local Patient Identifier (Extended) has incorrect data format. Local Patient Identifier (Extended)=&lt;C003010&gt;</v>
          </cell>
        </row>
        <row r="127">
          <cell r="A127" t="str">
            <v>C003010</v>
          </cell>
          <cell r="B127" t="str">
            <v>C003</v>
          </cell>
          <cell r="C127" t="str">
            <v>010</v>
          </cell>
          <cell r="D127" t="str">
            <v>C003010_1</v>
          </cell>
          <cell r="E127" t="str">
            <v>CYP003AccommType</v>
          </cell>
          <cell r="F127" t="str">
            <v>ACCOMMODATION STATUS CODE</v>
          </cell>
          <cell r="G127">
            <v>0</v>
          </cell>
          <cell r="H127">
            <v>126</v>
          </cell>
          <cell r="I127" t="str">
            <v>An indication of the type of accommodation that a PATIENT currently has. This should be based on the PATIENT's main or permanent residence.</v>
          </cell>
          <cell r="J127" t="str">
            <v>an4</v>
          </cell>
          <cell r="K127" t="str">
            <v>Reject</v>
          </cell>
          <cell r="L127" t="str">
            <v>Reject</v>
          </cell>
          <cell r="M127" t="str">
            <v>Warning</v>
          </cell>
          <cell r="O127" t="str">
            <v>1.2.1.3
1.2.1.6
1.2.1.8
1.2.1.15</v>
          </cell>
          <cell r="P127" t="str">
            <v>Used to monitor settings for children/young people with disabilities, one of the factors in identifying those who are vulnerable, and comparing health and social outcomes for all children and young people</v>
          </cell>
          <cell r="Q127" t="str">
            <v>M</v>
          </cell>
          <cell r="R127">
            <v>3</v>
          </cell>
          <cell r="S127" t="str">
            <v>CYP00304 - Record rejected - Accommodation Status Code is blank. Local Patient Identifier (Extended)=&lt;C003010&gt;
CYP00305 - Record rejected - Accommodation Status Code has incorrect data format. Local Patient Identifier (Extended)=&lt;C003010&gt;
CYP00306 - Warning - Accommodation Status Code contains an invalid Accommodation Status Code. Local Patient Identifier (Extended) = &lt;C003901&gt;  Accommodation Status Code=&lt;C003010&gt;</v>
          </cell>
        </row>
        <row r="128">
          <cell r="A128" t="str">
            <v>C003020</v>
          </cell>
          <cell r="B128" t="str">
            <v>C003</v>
          </cell>
          <cell r="C128" t="str">
            <v>020</v>
          </cell>
          <cell r="D128" t="str">
            <v>C003020_1</v>
          </cell>
          <cell r="E128" t="str">
            <v>CYP003AccommType</v>
          </cell>
          <cell r="F128" t="str">
            <v>ACCOMMODATION STATUS DATE</v>
          </cell>
          <cell r="G128">
            <v>0</v>
          </cell>
          <cell r="H128">
            <v>127</v>
          </cell>
          <cell r="I128" t="str">
            <v xml:space="preserve">The PERSON PROPERTY OBSERVED DATE when the ACCOMMODATION STATUS CODE was recorded. </v>
          </cell>
          <cell r="J128" t="str">
            <v>an10
CCYY-MM-DD</v>
          </cell>
          <cell r="K128" t="str">
            <v>N/A</v>
          </cell>
          <cell r="L128" t="str">
            <v>Reject</v>
          </cell>
          <cell r="M128" t="str">
            <v>N/A</v>
          </cell>
          <cell r="N128" t="str">
            <v>If AccommodationStatusDate is after the end of the reporting period, the record will be rejected.</v>
          </cell>
          <cell r="O128" t="str">
            <v>1.2.1.3
1.2.1.6
1.2.1.8
1.2.1.15</v>
          </cell>
          <cell r="P128" t="str">
            <v>Used to monitor settings for children/young people with disabilities, one of the factors in identifying those who are vulnerable, and comparing health and social outcomes for all children and young people</v>
          </cell>
          <cell r="Q128" t="str">
            <v>R</v>
          </cell>
          <cell r="R128">
            <v>2</v>
          </cell>
          <cell r="S128" t="str">
            <v>CYP00307 - Record rejected - Accommodation Status Date has incorrect date format. Local Patient Identifier (Extended)=&lt;C003010&gt;
CYP00308 - Record rejected - Accommodation Status Date is after the end date of the reporting period. Local Patient Identifier (Extended)=&lt;C003010&gt; Accommodation Status Date=&lt;C003020&gt;</v>
          </cell>
        </row>
        <row r="129">
          <cell r="A129" t="str">
            <v>C003D01</v>
          </cell>
          <cell r="E129" t="str">
            <v>CYP003AccommType</v>
          </cell>
          <cell r="F129" t="str">
            <v>RECORD NUMBER</v>
          </cell>
          <cell r="G129">
            <v>1</v>
          </cell>
          <cell r="H129">
            <v>128</v>
          </cell>
          <cell r="I129" t="str">
            <v>Record number in this extract file</v>
          </cell>
          <cell r="J129" t="str">
            <v>max n6</v>
          </cell>
        </row>
        <row r="130">
          <cell r="A130" t="str">
            <v>C003D02</v>
          </cell>
          <cell r="E130" t="str">
            <v>CYP003AccommType</v>
          </cell>
          <cell r="F130" t="str">
            <v>CYP003 UNIQUE ID</v>
          </cell>
          <cell r="G130">
            <v>1</v>
          </cell>
          <cell r="H130">
            <v>129</v>
          </cell>
          <cell r="I130" t="str">
            <v>A unique ID per table.  This continues across reporting periods and across providers.  This uniquely identifies a row of data within a table.</v>
          </cell>
          <cell r="J130" t="str">
            <v>min n6 max n20</v>
          </cell>
        </row>
        <row r="131">
          <cell r="A131" t="str">
            <v>C003D03</v>
          </cell>
          <cell r="E131" t="str">
            <v>CYP003AccommType</v>
          </cell>
          <cell r="F131" t="str">
            <v>ORGANISATION CODE (PROVIDER)</v>
          </cell>
          <cell r="G131">
            <v>1</v>
          </cell>
          <cell r="H131">
            <v>130</v>
          </cell>
          <cell r="I131" t="str">
            <v>Organisation code of provider submitting the data</v>
          </cell>
          <cell r="J131" t="str">
            <v>max an6</v>
          </cell>
        </row>
        <row r="132">
          <cell r="A132" t="str">
            <v>C003D04</v>
          </cell>
          <cell r="E132" t="str">
            <v>CYP003AccommType</v>
          </cell>
          <cell r="F132" t="str">
            <v>UNIQUE CYPHS ID (PATIENT)</v>
          </cell>
          <cell r="G132">
            <v>1</v>
          </cell>
          <cell r="H132">
            <v>131</v>
          </cell>
          <cell r="I132" t="str">
            <v>A nationally unique ID for the patient in the CYPHS Data Set generated from an index held by the BSP.</v>
          </cell>
          <cell r="J132" t="str">
            <v>max n10</v>
          </cell>
        </row>
        <row r="133">
          <cell r="A133" t="str">
            <v>C003D05</v>
          </cell>
          <cell r="E133" t="str">
            <v>CYP003AccommType</v>
          </cell>
          <cell r="F133" t="str">
            <v>BSP UNIQUE ID</v>
          </cell>
          <cell r="G133">
            <v>1</v>
          </cell>
          <cell r="H133">
            <v>132</v>
          </cell>
          <cell r="I133" t="str">
            <v xml:space="preserve">A unique ID applied when original data file was uploaded to the Bureau Service Portal. Where a single upload is used to provide data for different reporting periods, there will be a separate BSPUniqueID assigned to each reporting period.  </v>
          </cell>
          <cell r="J133" t="str">
            <v>max n6</v>
          </cell>
        </row>
        <row r="134">
          <cell r="A134" t="str">
            <v>C003D06</v>
          </cell>
          <cell r="E134" t="str">
            <v>CYP003AccommType</v>
          </cell>
          <cell r="F134" t="str">
            <v>AGE AT ACCOMMODATION STATUS DATE</v>
          </cell>
          <cell r="G134">
            <v>1</v>
          </cell>
          <cell r="H134">
            <v>133</v>
          </cell>
          <cell r="I134" t="str">
            <v>Age of the patient on the date that the Accommodation Status was recorded.</v>
          </cell>
          <cell r="J134" t="str">
            <v>max n2</v>
          </cell>
        </row>
        <row r="135">
          <cell r="A135" t="str">
            <v>C101901</v>
          </cell>
          <cell r="B135" t="str">
            <v>C101</v>
          </cell>
          <cell r="C135" t="str">
            <v>901</v>
          </cell>
          <cell r="D135" t="str">
            <v>901_4</v>
          </cell>
          <cell r="E135" t="str">
            <v>CYP101Referral</v>
          </cell>
          <cell r="F135" t="str">
            <v>LOCAL PATIENT IDENTIFIER (EXTENDED)</v>
          </cell>
          <cell r="G135">
            <v>0</v>
          </cell>
          <cell r="H135">
            <v>134</v>
          </cell>
          <cell r="I135" t="str">
            <v>This is a number used to identify a PATIENT uniquely within a Health Care Provider. It may be different from the PATIENT's casenote number and may be assigned automatically by the computer system.</v>
          </cell>
          <cell r="J135" t="str">
            <v>max an20</v>
          </cell>
          <cell r="K135" t="str">
            <v>Reject</v>
          </cell>
          <cell r="L135" t="str">
            <v>Reject</v>
          </cell>
          <cell r="M135" t="str">
            <v>N/A</v>
          </cell>
          <cell r="O135" t="str">
            <v>All to identify individual</v>
          </cell>
          <cell r="P135" t="str">
            <v>Used to uniquely identify an individual</v>
          </cell>
          <cell r="Q135" t="str">
            <v>M</v>
          </cell>
          <cell r="R135">
            <v>2</v>
          </cell>
          <cell r="S135" t="str">
            <v>CYP10105 - Record rejected - Local Patient Identifier (Extended) is blank. 
CYP10106 - Record rejected - Local Patient Identifier (Extended) has incorrect data format. Local Patient Identifier (Extended)=&lt;C101901&gt;</v>
          </cell>
        </row>
        <row r="136">
          <cell r="A136" t="str">
            <v>C101902</v>
          </cell>
          <cell r="B136" t="str">
            <v>C101</v>
          </cell>
          <cell r="C136" t="str">
            <v>902</v>
          </cell>
          <cell r="D136" t="str">
            <v>902_1</v>
          </cell>
          <cell r="E136" t="str">
            <v>CYP101Referral</v>
          </cell>
          <cell r="F136" t="str">
            <v>SERVICE REQUEST IDENTIFIER</v>
          </cell>
          <cell r="G136">
            <v>0</v>
          </cell>
          <cell r="H136">
            <v>135</v>
          </cell>
          <cell r="I136" t="str">
            <v>The unique identifier for a SERVICE REQUEST. 
It would normally be automatically generated by the local system upon recording a new Referral, although could be manually assigned.</v>
          </cell>
          <cell r="J136" t="str">
            <v>max an20</v>
          </cell>
          <cell r="K136" t="str">
            <v>Reject</v>
          </cell>
          <cell r="L136" t="str">
            <v>Reject</v>
          </cell>
          <cell r="M136" t="str">
            <v>N/A</v>
          </cell>
          <cell r="O136" t="str">
            <v>All to identify referral</v>
          </cell>
          <cell r="P136" t="str">
            <v>Used to uniquely identify a referral</v>
          </cell>
          <cell r="Q136" t="str">
            <v>M</v>
          </cell>
          <cell r="R136">
            <v>2</v>
          </cell>
          <cell r="S136" t="str">
            <v>CYP10103 - Record rejected - Service Request Identifier is blank. Local Patient Identifier (Extended)=&lt;C101901&gt;
CYP10104 - Record rejected - Service Request Identifier has incorrect data format. Local Patient Identifier (Extended)=&lt;C101901&gt;</v>
          </cell>
        </row>
        <row r="137">
          <cell r="A137" t="str">
            <v>C101080</v>
          </cell>
          <cell r="B137" t="str">
            <v>C101</v>
          </cell>
          <cell r="C137" t="str">
            <v>080</v>
          </cell>
          <cell r="D137" t="str">
            <v>C101080_1</v>
          </cell>
          <cell r="E137" t="str">
            <v>CYP101Referral</v>
          </cell>
          <cell r="F137" t="str">
            <v>SERVICE DISCHARGE DATE</v>
          </cell>
          <cell r="G137">
            <v>0</v>
          </cell>
          <cell r="H137">
            <v>136</v>
          </cell>
          <cell r="I137" t="str">
            <v>Service Discharge Date is the date a PATIENT was discharged from a SERVICE. This would occur once all the services or teams (for example as part of a multidisciplinary team) have finished treating a patient under a specific referral.</v>
          </cell>
          <cell r="J137" t="str">
            <v>an10 (CCYY-MM-DD)</v>
          </cell>
          <cell r="K137" t="str">
            <v>N/A</v>
          </cell>
          <cell r="L137" t="str">
            <v>Reject</v>
          </cell>
          <cell r="M137" t="str">
            <v>N/A</v>
          </cell>
          <cell r="N137" t="str">
            <v xml:space="preserve">If DISCHARGE DATE is populated and is before the start of the reporting period, the record will be rejected.
If DISCHARGE DATE is prior to the associated REFERRAL REQUEST RECEIVED DATE, then the record will be rejected.
If DISCHARGE DATE is after the end of the reporting period plus 24 hours, a warning will be reported (plus 24 hours is required to enable the flow of the DISCHARGE LETTER ISSUED DATE when this is in the following reporting period).
If DISCHARGE DATE is after the file creation date, the record will be rejected.
</v>
          </cell>
          <cell r="O137" t="str">
            <v>Used for analysis between field and other events</v>
          </cell>
          <cell r="P137" t="str">
            <v>Required for measuring Quality &amp; Performance</v>
          </cell>
          <cell r="Q137" t="str">
            <v>R</v>
          </cell>
          <cell r="R137">
            <v>5</v>
          </cell>
          <cell r="S137" t="str">
            <v>CYP10131 - Record rejected - Service Discharge Date has incorrect date format. Service Request Identifier=&lt;C101902&gt; Local Patient Identifier (Extended)=&lt;C101901&gt;
CYP10132 - Record rejected - Service Discharge Date is before the start of the reporting period.  Service Request Identifier=&lt;C101902&gt; Local Patient Identifier (Extended)=&lt;C101901&gt;
CYP10133 - Record rejected - Service Discharge Date is prior to the associated Referral Request Received Date. Service Request Identifier=&lt;C101902&gt; Local Patient Identifier (Extended)=&lt;C101901&gt;
CYP10137 - Warning - Service Discharge Date is after the end date of the reporting period plus 24 hours. Service Request Identifier=&lt;C101902&gt; Local Patient Identifier (Extended)=&lt;C101901&gt; Service Discharge Date=&lt;C101080&gt;
CYP10139 - Record rejected - Service Discharge Date is after the Date And Time Data Set Created. Service Request Identifier=&lt;C101902&gt; Local Patient Identifier (Extended)=&lt;C101901&gt;</v>
          </cell>
        </row>
        <row r="138">
          <cell r="A138" t="str">
            <v>C101912</v>
          </cell>
          <cell r="B138" t="str">
            <v>C101</v>
          </cell>
          <cell r="C138" t="str">
            <v>912</v>
          </cell>
          <cell r="D138" t="str">
            <v>912_1</v>
          </cell>
          <cell r="E138" t="str">
            <v>CYP101Referral</v>
          </cell>
          <cell r="F138" t="str">
            <v>ORGANISATION CODE (CODE OF COMMISSIONER)</v>
          </cell>
          <cell r="G138">
            <v>0</v>
          </cell>
          <cell r="H138">
            <v>137</v>
          </cell>
          <cell r="I138" t="str">
            <v>This is the ORGANISATION CODE of the ORGANISATION commissioning health care.
This should always be the ORGANISATION CODE of the original commissioner for Commissioning Data Sets to support Payment by Results.
The Department of Health document "Who pays? Establishing the Responsible Commissioner" sets out a framework for establishing responsibility for commissioning an individual's care within the NHS, (i.e. determining who pays for a PATIENT’s care.) 
http://www.dh.gov.uk/en/Publicationsandstatistics/Publications/PublicationsPolicyAndGuidance/DH_078466
Further guidance is available on the NHS Data Dictionary Website:
http://www.datadictionary.nhs.uk/data_dictionary/data_field_notes/o/org/organisation_code_(code_of_commissioner)_de.asp?shownav=1</v>
          </cell>
          <cell r="J138" t="str">
            <v>an3 or an5</v>
          </cell>
          <cell r="K138" t="str">
            <v>Reject</v>
          </cell>
          <cell r="L138" t="str">
            <v>Reject</v>
          </cell>
          <cell r="M138" t="str">
            <v>Warning</v>
          </cell>
          <cell r="N138" t="str">
            <v>If OrgCodeCommissioner is not in national tables, a warning will be output</v>
          </cell>
          <cell r="O138" t="str">
            <v>Used to analyse by commisioner</v>
          </cell>
          <cell r="P138" t="str">
            <v>Required for identifying the Commissioner responsible for payment</v>
          </cell>
          <cell r="Q138" t="str">
            <v>M</v>
          </cell>
          <cell r="R138">
            <v>3</v>
          </cell>
          <cell r="S138" t="str">
            <v>CYP10111 - Record rejected - Organisation Code (Code of Commissioner) has incorrect data format.  Service Request Identifier=&lt;C101902&gt; Local Patient Identifier (Extended)=&lt;C101901&gt;
CYP10112 - Warning - Organisation Code (Code of Commissioner) is not for a current live organisation in National Code tables.  Service Request Identifier=&lt;C101902&gt; Local Patient Identifier (Extended)=&lt;C101901&gt;  Organisation Code (Code of Commissioner) = &lt;C101912&gt;
CYP10125 - Record rejected - Organisation Code (Code of Commissioner) is blank. Service Request Identifier=&lt;C101902&gt; Local Patient Identifier (Extended)=&lt;C101901&gt;</v>
          </cell>
        </row>
        <row r="139">
          <cell r="A139" t="str">
            <v>C101010</v>
          </cell>
          <cell r="B139" t="str">
            <v>C101</v>
          </cell>
          <cell r="C139" t="str">
            <v>010</v>
          </cell>
          <cell r="D139" t="str">
            <v>C101010_1</v>
          </cell>
          <cell r="E139" t="str">
            <v>CYP101Referral</v>
          </cell>
          <cell r="F139" t="str">
            <v>REFERRAL REQUEST RECEIVED DATE</v>
          </cell>
          <cell r="G139">
            <v>0</v>
          </cell>
          <cell r="H139">
            <v>138</v>
          </cell>
          <cell r="I139" t="str">
            <v>This is the date the REFERRAL REQUEST was received by the Health Care Provider. The waiting time for a first Out-Patient Appointment should be calculated from the date when the REFERRAL REQUEST is received.
For electronic REFERRAL REQUESTS the REFERRAL REQUEST RECEIVED DATE is the date the REFERRAL REQUEST is received electronically by the Health Care Provider. For Choose and Book, the referral is received when the PATIENT's Unique Booking Reference Number (UBRN) is used to book the first outpatient appointment slot (i.e. converted).
Where an electronic REFERRAL REQUEST made through Choose and Book is rejected by the chosen provider, the ORIGINAL REFERRAL REQUEST RECEIVED DATE should be used when the PATIENT is subsequently re-referred to another service, so that patients are not unfairly disadvantaged when their waiting time calculations are made.
In the circumstance that a PATIENT calls the national Choose and Book Appointments Line and an APPOINTMENT SLOT is not available with the chosen Health Care Provider, the national Choose and Book Appointments Line will electronically forward the REFERRAL REQUEST details to the chosen Health Care Provider so the Health Care Provider can liaise directly with the PATIENT to arrange their Out-Patient Appointment. The REFERRAL REQUEST RECEIVED DATE will be the date that the Health Care Provider receives electronic notification from the national Choose and Book Appointments Line that the PATIENT has experienced slot unavailability. (Note that this is NOT the date that the Health Care Provider opens or actions the electronic notification).
For written REFERRAL REQUESTS letters must be opened and date stamped on the day of receipt. It is this date that must be entered on any PAS or similar system, not the date on which the information is fed into the system if this is later than the date of receipt.
If the REFERRAL REQUEST takes the form of a phone call followed by a letter, record the date when the letter arrives. If there is no following letter, the date of the verbal request should be recorded.</v>
          </cell>
          <cell r="J139" t="str">
            <v>an10 CCYY-MM-DD</v>
          </cell>
          <cell r="K139" t="str">
            <v>Reject</v>
          </cell>
          <cell r="L139" t="str">
            <v>Reject</v>
          </cell>
          <cell r="M139" t="str">
            <v>N/A</v>
          </cell>
          <cell r="N139" t="str">
            <v>If ReferralRequestReceivedDate is after the end of the reporting period, the record will be rejected.
If ReferralRequestReceivedDate is after the DISCHARGE DATE (COMMUNITY HEALTH SERVICE) , the record will be rejected.</v>
          </cell>
          <cell r="O139" t="str">
            <v>Used for analysis between field and other events</v>
          </cell>
          <cell r="P139" t="str">
            <v>Required for measuring Quality &amp; Performance - Waiting Times</v>
          </cell>
          <cell r="Q139" t="str">
            <v>M</v>
          </cell>
          <cell r="R139">
            <v>4</v>
          </cell>
          <cell r="S139" t="str">
            <v>CYP10107 - Record rejected - Referral Request Received Date is blank. Service Request Identifier=&lt;C101902&gt; Local Patient Identifier (Extended)=&lt;C101901&gt;
CYP10108 - Record rejected - Referral Request Received Date has incorrect date format. Service Request Identifier=&lt;C101902&gt; Local Patient Identifier (Extended)=&lt;C101901&gt;
CYP10138 - Record rejected - Referral Request Received Date is after the end date of the reporting period. Service Request Identifier=&lt;C101902&gt; Local Patient Identifier (Extended)=&lt;C101901&gt; Referral Request Received Date=&lt;C101010&gt;
CYP10140 - Record rejected - Referral Request Received Date is after the Service Discharge Date. Service Request Identifier=&lt;C101902&gt; Local Patient Identifier (Extended)=&lt;C101901&gt; Referral Request Received Date=&lt;C101010&gt; Service Discharge Date= &lt;C101080&gt;</v>
          </cell>
        </row>
        <row r="140">
          <cell r="A140" t="str">
            <v>C101020</v>
          </cell>
          <cell r="B140" t="str">
            <v>C101</v>
          </cell>
          <cell r="C140" t="str">
            <v>020</v>
          </cell>
          <cell r="D140" t="str">
            <v>C101020_1</v>
          </cell>
          <cell r="E140" t="str">
            <v>CYP101Referral</v>
          </cell>
          <cell r="F140" t="str">
            <v>REFERRAL REQUEST RECEIVED TIME</v>
          </cell>
          <cell r="G140">
            <v>0</v>
          </cell>
          <cell r="H140">
            <v>139</v>
          </cell>
          <cell r="I140" t="str">
            <v>This records the time the REFERRAL REQUEST was received.
This item is only required for 'urgent' priority referrals into services with target waiting times measured in hours e.g. rapid response teams or urgent care. 
The time should be recorded using the 24 hour clock format in eGIF format i.e. hh:mm:ss.</v>
          </cell>
          <cell r="J140" t="str">
            <v>an8 HH:MM:SS</v>
          </cell>
          <cell r="K140" t="str">
            <v>N/A</v>
          </cell>
          <cell r="L140" t="str">
            <v>Reject</v>
          </cell>
          <cell r="M140" t="str">
            <v>N/A</v>
          </cell>
          <cell r="O140" t="str">
            <v>Used for analysis between field and other events</v>
          </cell>
          <cell r="P140" t="str">
            <v>Required for measuring Quality &amp; Performance - Waiting Times and Response Times</v>
          </cell>
          <cell r="Q140" t="str">
            <v>R</v>
          </cell>
          <cell r="R140">
            <v>1</v>
          </cell>
          <cell r="S140" t="str">
            <v>CYP10109 - Record rejected - Referral Request Received Time has incorrect data format. Service Request Identifier=&lt;C101902&gt; Local Patient Identifier (Extended)=&lt;C101901&gt;</v>
          </cell>
        </row>
        <row r="141">
          <cell r="A141" t="str">
            <v>C101905</v>
          </cell>
          <cell r="B141" t="str">
            <v>C101</v>
          </cell>
          <cell r="C141" t="str">
            <v>905</v>
          </cell>
          <cell r="D141" t="str">
            <v>905_1</v>
          </cell>
          <cell r="E141" t="str">
            <v>CYP101Referral</v>
          </cell>
          <cell r="F141" t="str">
            <v>NHS SERVICE AGREEMENT LINE NUMBER</v>
          </cell>
          <cell r="G141">
            <v>0</v>
          </cell>
          <cell r="H141">
            <v>140</v>
          </cell>
          <cell r="I141" t="str">
            <v>A number (alphanumeric) to provide a unique identifier for a line within a NHS SERVICE AGREEMENT.
An NHS SERVICE AGREEMENT is a formal agreement between a commissioner ORGANISATION and one or more provider ORGANISATIONS for the provision of PATIENT care services.</v>
          </cell>
          <cell r="J141" t="str">
            <v>an10</v>
          </cell>
          <cell r="K141" t="str">
            <v>N/A</v>
          </cell>
          <cell r="L141" t="str">
            <v>Reject</v>
          </cell>
          <cell r="M141" t="str">
            <v>N/A</v>
          </cell>
          <cell r="O141" t="str">
            <v>All to identify a service agreement line</v>
          </cell>
          <cell r="P141" t="str">
            <v>Used to uniquely identify a service agreement line</v>
          </cell>
          <cell r="Q141" t="str">
            <v>O</v>
          </cell>
          <cell r="R141">
            <v>1</v>
          </cell>
          <cell r="S141" t="str">
            <v>CYP10110 - Record rejected - NHS Service Agreement Line Number has incorrect data format. Service Request Identifier=&lt;C101902&gt; Local Patient Identifier (Extended)=&lt;C101901&gt;</v>
          </cell>
        </row>
        <row r="142">
          <cell r="A142" t="str">
            <v>C101030</v>
          </cell>
          <cell r="B142" t="str">
            <v>C101</v>
          </cell>
          <cell r="C142" t="str">
            <v>030</v>
          </cell>
          <cell r="D142" t="str">
            <v>C101030_1</v>
          </cell>
          <cell r="E142" t="str">
            <v>CYP101Referral</v>
          </cell>
          <cell r="F142" t="str">
            <v>SOURCE OF REFERRAL FOR COMMUNITY</v>
          </cell>
          <cell r="G142">
            <v>0</v>
          </cell>
          <cell r="H142">
            <v>141</v>
          </cell>
          <cell r="I142" t="str">
            <v>A classification which identifies the source of referral to a Community Health Service.
Internal Referrals should normally be recorded as 'Community Service' and the Referring Organisation Code will be the same as the Organisation Code (Code of Provider).</v>
          </cell>
          <cell r="J142" t="str">
            <v>an2</v>
          </cell>
          <cell r="K142" t="str">
            <v>N/A</v>
          </cell>
          <cell r="L142" t="str">
            <v>Reject</v>
          </cell>
          <cell r="M142" t="str">
            <v>Warning</v>
          </cell>
          <cell r="O142" t="str">
            <v>Used for analysis of this data item</v>
          </cell>
          <cell r="P142" t="str">
            <v>Required for reporting on Referral Source and to support validation of Referring Organisation Code</v>
          </cell>
          <cell r="Q142" t="str">
            <v>R</v>
          </cell>
          <cell r="R142">
            <v>2</v>
          </cell>
          <cell r="S142" t="str">
            <v>CYP10115 - Record rejected - Source Of Referral For Community has incorrect data format. Service Request Identifier=&lt;C101902&gt; Local Patient Identifier (Extended)=&lt;C101901&gt; 
CYP10116 - Warning - Source of Referral For Community contains an invalid Source Of Referral For Community. Service Request Identifier=&lt;C101902&gt;  Local Patient Identifier (Extended)=&lt;C101901&gt; Source Of Referral For Community=&lt;C101030&gt;</v>
          </cell>
        </row>
        <row r="143">
          <cell r="A143" t="str">
            <v>C101040</v>
          </cell>
          <cell r="B143" t="str">
            <v>C101</v>
          </cell>
          <cell r="C143" t="str">
            <v>040</v>
          </cell>
          <cell r="D143" t="str">
            <v>C101040_1</v>
          </cell>
          <cell r="E143" t="str">
            <v>CYP101Referral</v>
          </cell>
          <cell r="F143" t="str">
            <v>REFERRING ORGANISATION CODE</v>
          </cell>
          <cell r="G143">
            <v>0</v>
          </cell>
          <cell r="H143">
            <v>142</v>
          </cell>
          <cell r="I143" t="str">
            <v>Organisation Code of the referring organisation. This will be applicable only if the request has originated from another organisation. It will not be applicable for a self-referral.</v>
          </cell>
          <cell r="J143" t="str">
            <v>max an6</v>
          </cell>
          <cell r="K143" t="str">
            <v>N/A</v>
          </cell>
          <cell r="L143" t="str">
            <v>Reject</v>
          </cell>
          <cell r="M143" t="str">
            <v>Warning</v>
          </cell>
          <cell r="N143" t="str">
            <v>If OrgCodeReferrer is not in national tables, a warning will be output. The national tables to be validated against can be inferred from the SourceOfCommunityReferral if populated.</v>
          </cell>
          <cell r="O143" t="str">
            <v>Used for analysis of this data item</v>
          </cell>
          <cell r="P143" t="str">
            <v>Required for reporting on Referral Source</v>
          </cell>
          <cell r="Q143" t="str">
            <v>R</v>
          </cell>
          <cell r="R143">
            <v>2</v>
          </cell>
          <cell r="S143" t="str">
            <v>CYP10117 - Record rejected - Referring Organisation Code has incorrect data format. Service Request Identifier=&lt;C101902&gt;  Local Patient Identifier (Extended)=&lt;C101901&gt;
CYP10118 - Warning - Referring Organisation Code is not for a current live organisation in national tables. Service Request Identifier=&lt;C101902&gt;  Local Patient Identifier (Extended)=&lt;C101901&gt;  Referring Organisation Code = &lt;C101040&gt;</v>
          </cell>
        </row>
        <row r="144">
          <cell r="A144" t="str">
            <v>C101050</v>
          </cell>
          <cell r="B144" t="str">
            <v>C101</v>
          </cell>
          <cell r="C144" t="str">
            <v>050</v>
          </cell>
          <cell r="D144" t="str">
            <v>C101050_1</v>
          </cell>
          <cell r="E144" t="str">
            <v>CYP101Referral</v>
          </cell>
          <cell r="F144" t="str">
            <v>REFERRING CARE PROFESSIONAL STAFF GROUP (MENTAL HEALTH AND COMMUNITY CARE)</v>
          </cell>
          <cell r="G144">
            <v>0</v>
          </cell>
          <cell r="H144">
            <v>143</v>
          </cell>
          <cell r="I144" t="str">
            <v>The staff group of a CARE PROFESSIONAL who referred the PATIENT to a Community Health Service or Mental
Health Service.</v>
          </cell>
          <cell r="J144" t="str">
            <v>an3</v>
          </cell>
          <cell r="K144" t="str">
            <v>N/A</v>
          </cell>
          <cell r="L144" t="str">
            <v>Reject</v>
          </cell>
          <cell r="M144" t="str">
            <v>Warning</v>
          </cell>
          <cell r="O144" t="str">
            <v>Used for analysis of this data item</v>
          </cell>
          <cell r="P144" t="str">
            <v>Required for reporting on Referral Source</v>
          </cell>
          <cell r="Q144" t="str">
            <v>R</v>
          </cell>
          <cell r="R144">
            <v>2</v>
          </cell>
          <cell r="S144" t="str">
            <v>CYP10119 - Record rejected - Referring Care Professional Staff Group (Mental Health and Community Care) has incorrect data format. Service Request Identifier=&lt;C101902&gt;  Local Patient Identifier (Extended)=&lt;C101901&gt;
CYP10120 - Warning - Referring Care Professional Staff Group (Mental Health and Community Care) contains an invalid Referring Care Professional Staff Group (Mental Health and Community Care). Service Request Identifier=&lt;C101902&gt;  Local Patient Identifier (Extended)=&lt;C101901&gt; Referring Care Professional Staff Group (Mental Health and Community Care)=&lt;C101050&gt;</v>
          </cell>
        </row>
        <row r="145">
          <cell r="A145" t="str">
            <v>C101060</v>
          </cell>
          <cell r="B145" t="str">
            <v>C101</v>
          </cell>
          <cell r="C145" t="str">
            <v>060</v>
          </cell>
          <cell r="D145" t="str">
            <v>C101060_1</v>
          </cell>
          <cell r="E145" t="str">
            <v>CYP101Referral</v>
          </cell>
          <cell r="F145" t="str">
            <v>PRIORITY TYPE CODE</v>
          </cell>
          <cell r="G145">
            <v>0</v>
          </cell>
          <cell r="H145">
            <v>144</v>
          </cell>
          <cell r="I145" t="str">
            <v>This is the priority of a request for services; in the case of services to be provided by a CONSULTANT, it is as assessed by or on behalf of the CONSULTANT.
Priority Type 'Urgent' should be used where the request for services is defined as clinically urgent, but it does not fall under the criteria for 'Two Week Wait' (see below).
Priority Type 'Two Week Wait' should be used where either:
- the request for services meets the criteria for an urgent GENERAL PRACTITIONER referral for suspected cancer.  These referrals should be made in accordance with the National Institute for Health and Clinical Excellence (NICE) clinical guidelines on referral for suspected cancer. For further information, see the NICE guidance.
or
- the PATIENT has been referred urgently for breast symptoms, but the referral does not meet the criteria for urgent GENERAL PRACTITIONER referrals for suspected cancer.</v>
          </cell>
          <cell r="J145" t="str">
            <v>an1</v>
          </cell>
          <cell r="K145" t="str">
            <v>N/A</v>
          </cell>
          <cell r="L145" t="str">
            <v>Reject</v>
          </cell>
          <cell r="M145" t="str">
            <v>Warning</v>
          </cell>
          <cell r="O145" t="str">
            <v>Used for analysis of this data item reporting on time between events</v>
          </cell>
          <cell r="P145" t="str">
            <v>Required for reporting on Referral Priority and measuring Response Times</v>
          </cell>
          <cell r="Q145" t="str">
            <v>R</v>
          </cell>
          <cell r="R145">
            <v>2</v>
          </cell>
          <cell r="S145" t="str">
            <v>CYP10121 - Record rejected - Priority Type Code has incorrect data format. Service Request Identifier=&lt;C101902&gt;  Local Patient Identifier (Extended)=&lt;C101901&gt;
CYP10122 - Warning - Priority Type Code contains an invalid Priority Type Code. Service Request Identifier=&lt;C101902&gt;  Local Patient Identifier (Extended)=&lt;C101901&gt; Priority Type Code=&lt;C101060&gt;</v>
          </cell>
        </row>
        <row r="146">
          <cell r="A146" t="str">
            <v>C101070</v>
          </cell>
          <cell r="B146" t="str">
            <v>C101</v>
          </cell>
          <cell r="C146" t="str">
            <v>070</v>
          </cell>
          <cell r="D146" t="str">
            <v>C101070_1</v>
          </cell>
          <cell r="E146" t="str">
            <v>CYP101Referral</v>
          </cell>
          <cell r="F146" t="str">
            <v>PRIMARY REASON FOR REFERRAL (COMMUNITY CARE)</v>
          </cell>
          <cell r="G146">
            <v>0</v>
          </cell>
          <cell r="H146">
            <v>145</v>
          </cell>
          <cell r="I146" t="str">
            <v>The primary presenting condition or symptom for which the patient was referred to a Community Health Service.</v>
          </cell>
          <cell r="J146" t="str">
            <v>an3</v>
          </cell>
          <cell r="K146" t="str">
            <v>N/A</v>
          </cell>
          <cell r="L146" t="str">
            <v>Reject</v>
          </cell>
          <cell r="M146" t="str">
            <v>Warning</v>
          </cell>
          <cell r="O146" t="str">
            <v>Used for analysis of this data item</v>
          </cell>
          <cell r="P146" t="str">
            <v>Required for measuring Quality &amp; Performance - RTT and Response Times</v>
          </cell>
          <cell r="Q146" t="str">
            <v>R</v>
          </cell>
          <cell r="R146">
            <v>2</v>
          </cell>
          <cell r="S146" t="str">
            <v>CYP10123 - Record rejected - Primary Reason For Referral (Community Care) has incorrect data format. Service Request Identifier=&lt;C101902&gt; Local Patient Identifier (Extended)=&lt;C101901&gt;
CYP10124 - Warning - Primary Reason For Referral (Community Care) contains an invalid Primary Reason For Referral (Community Care). Service Request Identifier=&lt;C101902&gt; Local Patient Identifier (Extended)=&lt;C101901&gt; Primary Reason For Referral (Community Care)=&lt;C101070&gt;</v>
          </cell>
        </row>
        <row r="147">
          <cell r="A147" t="str">
            <v>C101090</v>
          </cell>
          <cell r="B147" t="str">
            <v>C101</v>
          </cell>
          <cell r="C147" t="str">
            <v>090</v>
          </cell>
          <cell r="D147" t="str">
            <v>C101090_1</v>
          </cell>
          <cell r="E147" t="str">
            <v>CYP101Referral</v>
          </cell>
          <cell r="F147" t="str">
            <v>DISCHARGE LETTER ISSUED DATE (MENTAL HEALTH AND COMMUNITY CARE)</v>
          </cell>
          <cell r="G147">
            <v>0</v>
          </cell>
          <cell r="H147">
            <v>146</v>
          </cell>
          <cell r="I147" t="str">
            <v xml:space="preserve">The Discharge Letter Issued Date (Mental Health and Community Care) is the date when the Discharge Letter was issued by the provider of Mental Health Services or Community Health Services to the PATIENT. </v>
          </cell>
          <cell r="J147" t="str">
            <v>an10 (CCYY-MM-DD)</v>
          </cell>
          <cell r="K147" t="str">
            <v>N/A</v>
          </cell>
          <cell r="L147" t="str">
            <v>Reject</v>
          </cell>
          <cell r="M147" t="str">
            <v>N/A</v>
          </cell>
          <cell r="N147" t="str">
            <v>If a DISCHARGE LETTER ISSUED DATE is after the File Creation Date, then a warning will be generated.</v>
          </cell>
          <cell r="O147" t="str">
            <v>Used for analysis between field and other events</v>
          </cell>
          <cell r="P147" t="str">
            <v xml:space="preserve">To support community contract reporting requirements around issuance of Discharge Letters within 24 hours of discharge.
</v>
          </cell>
          <cell r="Q147" t="str">
            <v>R</v>
          </cell>
          <cell r="R147">
            <v>2</v>
          </cell>
          <cell r="S147" t="str">
            <v>CYP10134 - Record rejected - Discharge Letter Issued Date (Mental Health and Community Care) has incorrect date format. Service Request Identifier=&lt;C101902&gt; Local Patient Identifier (Extended)=&lt;C101901&gt;
CYP10135 - Warning - Discharge Letter Issued Date (Mental Health and Community Care) is after the end date of the Date And Time Data Set Created. Service Request Identifier=&lt;C101902&gt; Local Patient Identifier (Extended)=&lt;C101901&gt;</v>
          </cell>
        </row>
        <row r="148">
          <cell r="A148" t="str">
            <v>C101D01</v>
          </cell>
          <cell r="E148" t="str">
            <v>CYP101Referral</v>
          </cell>
          <cell r="F148" t="str">
            <v>RECORD NUMBER</v>
          </cell>
          <cell r="G148">
            <v>1</v>
          </cell>
          <cell r="H148">
            <v>147</v>
          </cell>
          <cell r="I148" t="str">
            <v>Record number in this extract file</v>
          </cell>
          <cell r="J148" t="str">
            <v>max n6</v>
          </cell>
        </row>
        <row r="149">
          <cell r="A149" t="str">
            <v>C101D02</v>
          </cell>
          <cell r="E149" t="str">
            <v>CYP101Referral</v>
          </cell>
          <cell r="F149" t="str">
            <v>CYP101 UNIQUE ID</v>
          </cell>
          <cell r="G149">
            <v>1</v>
          </cell>
          <cell r="H149">
            <v>148</v>
          </cell>
          <cell r="I149" t="str">
            <v>A unique ID per table.  This continues across reporting periods and across providers.  This uniquely identifies a row of data within a table.</v>
          </cell>
          <cell r="J149" t="str">
            <v>min n6 max n20</v>
          </cell>
        </row>
        <row r="150">
          <cell r="A150" t="str">
            <v>C101D03</v>
          </cell>
          <cell r="E150" t="str">
            <v>CYP101Referral</v>
          </cell>
          <cell r="F150" t="str">
            <v>ORGANISATION CODE (PROVIDER)</v>
          </cell>
          <cell r="G150">
            <v>1</v>
          </cell>
          <cell r="H150">
            <v>149</v>
          </cell>
          <cell r="I150" t="str">
            <v>Organisation code of provider submitting the data</v>
          </cell>
          <cell r="J150" t="str">
            <v>max an6</v>
          </cell>
        </row>
        <row r="151">
          <cell r="A151" t="str">
            <v>C101D04</v>
          </cell>
          <cell r="E151" t="str">
            <v>CYP101Referral</v>
          </cell>
          <cell r="F151" t="str">
            <v>UNIQUE CYPHS ID (PATIENT)</v>
          </cell>
          <cell r="G151">
            <v>1</v>
          </cell>
          <cell r="H151">
            <v>150</v>
          </cell>
          <cell r="I151" t="str">
            <v>A nationally unique ID for the patient in the CYPHS Data Set generated from an index held by the BSP.</v>
          </cell>
          <cell r="J151" t="str">
            <v>max n10</v>
          </cell>
        </row>
        <row r="152">
          <cell r="A152" t="str">
            <v>C101D05</v>
          </cell>
          <cell r="E152" t="str">
            <v>CYP101Referral</v>
          </cell>
          <cell r="F152" t="str">
            <v>BSP UNIQUE ID</v>
          </cell>
          <cell r="G152">
            <v>1</v>
          </cell>
          <cell r="H152">
            <v>151</v>
          </cell>
          <cell r="I152" t="str">
            <v xml:space="preserve">A unique ID applied when original data file was uploaded to the Bureau Service Portal. Where a single upload is used to provide data for different reporting periods, there will be a separate BSPUniqueID assigned to each reporting period.  </v>
          </cell>
          <cell r="J152" t="str">
            <v>max n6</v>
          </cell>
        </row>
        <row r="153">
          <cell r="A153" t="str">
            <v>C101D06</v>
          </cell>
          <cell r="E153" t="str">
            <v>CYP101Referral</v>
          </cell>
          <cell r="F153" t="str">
            <v>UNIQUE SERVICE REQUEST IDENTIFIER</v>
          </cell>
          <cell r="G153">
            <v>1</v>
          </cell>
          <cell r="H153">
            <v>152</v>
          </cell>
          <cell r="I153" t="str">
            <v>To uniquely identify the referral</v>
          </cell>
          <cell r="J153" t="str">
            <v>max an26</v>
          </cell>
        </row>
        <row r="154">
          <cell r="A154" t="str">
            <v>C101D07</v>
          </cell>
          <cell r="E154" t="str">
            <v>CYP101Referral</v>
          </cell>
          <cell r="F154" t="str">
            <v>LOCAL AREA TEAM (ORGANISATION CODE (CODE OF COMMISSIONER))</v>
          </cell>
          <cell r="G154">
            <v>1</v>
          </cell>
          <cell r="H154">
            <v>153</v>
          </cell>
          <cell r="I154" t="str">
            <v>Local Area Team (Organisation Code (Code of Commissioner))</v>
          </cell>
          <cell r="J154" t="str">
            <v>max an6</v>
          </cell>
        </row>
        <row r="155">
          <cell r="A155" t="str">
            <v>C101D08</v>
          </cell>
          <cell r="E155" t="str">
            <v>CYP101Referral</v>
          </cell>
          <cell r="F155" t="str">
            <v>NHS ENGLAND REGION (ORGANISATION CODE (CODE OF COMMISSIONER))</v>
          </cell>
          <cell r="G155">
            <v>1</v>
          </cell>
          <cell r="H155">
            <v>154</v>
          </cell>
          <cell r="I155" t="str">
            <v>NHS England Region (Organisation Code (Code of Commissioner))</v>
          </cell>
          <cell r="J155" t="str">
            <v>max an6</v>
          </cell>
        </row>
        <row r="156">
          <cell r="A156" t="str">
            <v>C101D09</v>
          </cell>
          <cell r="E156" t="str">
            <v>CYP101Referral</v>
          </cell>
          <cell r="F156" t="str">
            <v>AGE AT SERVICE REFERRAL RECEIVED DATE</v>
          </cell>
          <cell r="G156">
            <v>1</v>
          </cell>
          <cell r="H156">
            <v>155</v>
          </cell>
          <cell r="I156" t="str">
            <v>Age at Service Referral Received</v>
          </cell>
          <cell r="J156" t="str">
            <v>max n2</v>
          </cell>
        </row>
        <row r="157">
          <cell r="A157" t="str">
            <v>C101D10</v>
          </cell>
          <cell r="E157" t="str">
            <v>CYP101Referral</v>
          </cell>
          <cell r="F157" t="str">
            <v>AGE AT SERVICE REFERRAL DISCHARGE</v>
          </cell>
          <cell r="G157">
            <v>1</v>
          </cell>
          <cell r="H157">
            <v>156</v>
          </cell>
          <cell r="I157" t="str">
            <v>Age at Service Referral Discharge</v>
          </cell>
          <cell r="J157" t="str">
            <v>max n2</v>
          </cell>
        </row>
        <row r="158">
          <cell r="A158" t="str">
            <v>C102902</v>
          </cell>
          <cell r="B158" t="str">
            <v>C102</v>
          </cell>
          <cell r="C158" t="str">
            <v>902</v>
          </cell>
          <cell r="D158" t="str">
            <v>902_2</v>
          </cell>
          <cell r="E158" t="str">
            <v>CYP102ServiceTypeReferredTo</v>
          </cell>
          <cell r="F158" t="str">
            <v>SERVICE REQUEST IDENTIFIER</v>
          </cell>
          <cell r="G158">
            <v>0</v>
          </cell>
          <cell r="H158">
            <v>157</v>
          </cell>
          <cell r="I158" t="str">
            <v>The unique identifier for a SERVICE REQUEST. 
It would normally be automatically generated by the local system upon recording a new Referral, although could be manually assigned.</v>
          </cell>
          <cell r="J158" t="str">
            <v>max an20</v>
          </cell>
          <cell r="K158" t="str">
            <v>Reject</v>
          </cell>
          <cell r="L158" t="str">
            <v>Reject</v>
          </cell>
          <cell r="M158" t="str">
            <v>N/A</v>
          </cell>
          <cell r="O158" t="str">
            <v>All to identify professional team</v>
          </cell>
          <cell r="P158" t="str">
            <v>Used to uniquely identify a professional team</v>
          </cell>
          <cell r="Q158" t="str">
            <v>M</v>
          </cell>
          <cell r="R158">
            <v>2</v>
          </cell>
          <cell r="S158" t="str">
            <v>CYP10203 - Record rejected - Service Request Identifier is blank. 
CYP10204 - Record rejected - Service Request Identifier has incorrect data format. Service Request Identifier=&lt;C102902&gt;</v>
          </cell>
        </row>
        <row r="159">
          <cell r="A159" t="str">
            <v>C102905</v>
          </cell>
          <cell r="B159" t="str">
            <v>C102</v>
          </cell>
          <cell r="C159" t="str">
            <v>905</v>
          </cell>
          <cell r="D159" t="str">
            <v>905_2</v>
          </cell>
          <cell r="E159" t="str">
            <v>CYP102ServiceTypeReferredTo</v>
          </cell>
          <cell r="F159" t="str">
            <v>CARE PROFESSIONAL TEAM LOCAL IDENTIFIER</v>
          </cell>
          <cell r="G159">
            <v>0</v>
          </cell>
          <cell r="H159">
            <v>158</v>
          </cell>
          <cell r="I159" t="str">
            <v>CARE PROFESSIONAL TEAM LOCAL IDENTIFIER is a unique local CARE PROFESSIONAL TEAM IDENTIFIER within a Health Care Provider and may be assigned automatically by the computer system.</v>
          </cell>
          <cell r="J159" t="str">
            <v>max an20</v>
          </cell>
          <cell r="K159" t="str">
            <v>N/A</v>
          </cell>
          <cell r="L159" t="str">
            <v>Reject</v>
          </cell>
          <cell r="M159" t="str">
            <v>N/A</v>
          </cell>
          <cell r="O159" t="str">
            <v>All to identify referral</v>
          </cell>
          <cell r="P159" t="str">
            <v>Used to uniquely identify a referral</v>
          </cell>
          <cell r="Q159" t="str">
            <v>R</v>
          </cell>
          <cell r="R159">
            <v>1</v>
          </cell>
          <cell r="S159" t="str">
            <v>CYP10224 - Record rejected - Care Professional Team Local Identifier has incorrect data format. Service Request Identifier=&lt;C102902&gt;</v>
          </cell>
        </row>
        <row r="160">
          <cell r="A160" t="str">
            <v>C102010</v>
          </cell>
          <cell r="B160" t="str">
            <v>C102</v>
          </cell>
          <cell r="C160" t="str">
            <v>010</v>
          </cell>
          <cell r="D160" t="str">
            <v>C102010_1</v>
          </cell>
          <cell r="E160" t="str">
            <v>CYP102ServiceTypeReferredTo</v>
          </cell>
          <cell r="F160" t="str">
            <v>SERVICE OR TEAM TYPE REFERRED TO (COMMUNITY CARE)</v>
          </cell>
          <cell r="G160">
            <v>0</v>
          </cell>
          <cell r="H160">
            <v>159</v>
          </cell>
          <cell r="I160" t="str">
            <v>The type of community service or team that the patient has been referred into.</v>
          </cell>
          <cell r="J160" t="str">
            <v>an2</v>
          </cell>
          <cell r="K160" t="str">
            <v>Reject</v>
          </cell>
          <cell r="L160" t="str">
            <v>Reject</v>
          </cell>
          <cell r="M160" t="str">
            <v>Warning</v>
          </cell>
          <cell r="O160" t="str">
            <v>All to analyse by data item</v>
          </cell>
          <cell r="P160" t="str">
            <v>Required for reporting on the basis of Service Types</v>
          </cell>
          <cell r="Q160" t="str">
            <v>M</v>
          </cell>
          <cell r="R160">
            <v>3</v>
          </cell>
          <cell r="S160" t="str">
            <v>CYP10205 - Record rejected - Service Or Team Type Referred To (Community Care) has incorrect data format. Service Request Identifier=&lt;C102902&gt;  Local Patient Identifier (Extended)=&lt;C101901&gt;
CYP10206 - Warning - Service Or Team Type Referred To (Community Care) contains an invalid Service Or Team Type Referred To (Community Care). Service Request Identifier=&lt;C102902&gt;  Local Patient Identifier (Extended)=&lt;C101901&gt; Service Or Team Type Referred To (Community Care)=&lt;C102010&gt;
CYP10207 - Record rejected - Service Or Team Type Referred To (Community Care) is blank. Service Request Identifier=&lt;C102902&gt;  Local Patient Identifier (Extended)=&lt;C101901&gt;</v>
          </cell>
        </row>
        <row r="161">
          <cell r="A161" t="str">
            <v>C102020</v>
          </cell>
          <cell r="B161" t="str">
            <v>C102</v>
          </cell>
          <cell r="C161" t="str">
            <v>020</v>
          </cell>
          <cell r="D161" t="str">
            <v>C102020_1</v>
          </cell>
          <cell r="E161" t="str">
            <v>CYP102ServiceTypeReferredTo</v>
          </cell>
          <cell r="F161" t="str">
            <v>REFERRAL CLOSURE DATE</v>
          </cell>
          <cell r="G161">
            <v>0</v>
          </cell>
          <cell r="H161">
            <v>160</v>
          </cell>
          <cell r="I161" t="str">
            <v>The date the Referral Request to a Health Care Provider's Service was closed by the Health Care Provider's Service. The overarching referral may remain open if another service or team involved in the same referral is still actively treating the patient.</v>
          </cell>
          <cell r="J161" t="str">
            <v>an10 (CCYY-MM-DD)</v>
          </cell>
          <cell r="K161" t="str">
            <v>N/A</v>
          </cell>
          <cell r="L161" t="str">
            <v>Reject</v>
          </cell>
          <cell r="M161" t="str">
            <v>N/A</v>
          </cell>
          <cell r="N161" t="str">
            <v>If REFERRAL CLOSURE DATE is populated and is before the start of the reporting period, the record will be rejected.
If REFERRAL CLOSURE DATE is populated and is after the File Creation Date, the record will be rejected.
If REFERRAL CLOSURE DATE is populated and is after the end of the reporting period, a warning will be reported.
If DISCHARGE DATE in CYP101 is populated, the REFERRAL CLOSURE DATE should be less than or equal to the DISCHARGE DATE or the record will be rejected.</v>
          </cell>
          <cell r="O161" t="str">
            <v>All to analyse between data item and other events</v>
          </cell>
          <cell r="P161" t="str">
            <v>To support community contract reporting requirements around issuance of Discharge Letters within 24 hours of discharge.</v>
          </cell>
          <cell r="Q161" t="str">
            <v>R</v>
          </cell>
          <cell r="R161">
            <v>5</v>
          </cell>
          <cell r="S161" t="str">
            <v>CYP10208 - Record rejected - Referral Closure Date has incorrect date format. Service Request Identifier=&lt;C102902&gt;  Local Patient Identifier (Extended)=&lt;C101901&gt;
CYP10225 - Record rejected - Referral Closure Date is before the start of the reporting period. Service Request Identifier=&lt;C102902&gt;  Local Patient Identifier (Extended)=&lt;C101901&gt;
CYP10209 - Record rejected - Referral Closure Date is after the File Creation Date Time. Service Request Identifier=&lt;C102902&gt;  Local Patient Identifier (Extended)=&lt;C101901&gt;
CYP10210 - Warning - Referral Closure Date is after the end of the Reporting Period. Service Request Identifier=&lt;C102902&gt;  Local Patient Identifier (Extended)=&lt;C101901&gt; Referral Closure Date=&lt;C102020&gt;
CYP10213 - Record rejected - Referral Closure Date is after the Discharge Date. Service Request Identifier=&lt;C102902&gt;  Local Patient Identifier (Extended)=&lt;C101901&gt;</v>
          </cell>
        </row>
        <row r="162">
          <cell r="A162" t="str">
            <v>C102030</v>
          </cell>
          <cell r="B162" t="str">
            <v>C102</v>
          </cell>
          <cell r="C162" t="str">
            <v>030</v>
          </cell>
          <cell r="D162" t="str">
            <v>C102030_1</v>
          </cell>
          <cell r="E162" t="str">
            <v>CYP102ServiceTypeReferredTo</v>
          </cell>
          <cell r="F162" t="str">
            <v>REFERRAL REJECTION DATE</v>
          </cell>
          <cell r="G162">
            <v>0</v>
          </cell>
          <cell r="H162">
            <v>161</v>
          </cell>
          <cell r="I162" t="str">
            <v>The date the Referral Request to a Health Care Provider's Service was rejected by the Health Care Provider's Service. The overarching referral may remain open if another service or team involved in the same referral is still actively treating the patient.</v>
          </cell>
          <cell r="J162" t="str">
            <v>an10 (CCYY-MM-DD)</v>
          </cell>
          <cell r="K162" t="str">
            <v>N/A</v>
          </cell>
          <cell r="L162" t="str">
            <v>Reject</v>
          </cell>
          <cell r="M162" t="str">
            <v>N/A</v>
          </cell>
          <cell r="O162" t="str">
            <v>All to analyse between data item and other events</v>
          </cell>
          <cell r="P162" t="str">
            <v>To support community contract reporting requirements around issuance of Discharge Letters within 24 hours of discharge.</v>
          </cell>
          <cell r="Q162" t="str">
            <v>R</v>
          </cell>
          <cell r="R162">
            <v>5</v>
          </cell>
          <cell r="S162" t="str">
            <v>CYP10217 - Record rejected - Referral Rejection Date has incorrect date format. Service Request Identifier=&lt;C102902&gt;  Local Patient Identifier (Extended)=&lt;C101901&gt;
CYP10218 - Record rejected - Referral Rejection Date is before the start of the reporting period. Service Request Identifier=&lt;C102902&gt;  Local Patient Identifier (Extended)=&lt;C101901&gt;
CYP10219 - Record rejected - Referral Rejection Date is after the File Creation Date Time. Service Request Identifier=&lt;C102902&gt;  Local Patient Identifier (Extended)=&lt;C101901&gt;
CYP10220 - Warning - Referral Rejection Date is after the end of the Reporting Period. Service Request Identifier=&lt;C102902&gt;  Local Patient Identifier (Extended)=&lt;C101901&gt; Referral Rejection Date=&lt;C102030&gt;
CYP10221 - Record rejected - Referral Rejection Date is after the Discharge Date. Service Request Identifier=&lt;C102902&gt;  Local Patient Identifier (Extended)=&lt;C101901&gt;</v>
          </cell>
        </row>
        <row r="163">
          <cell r="A163" t="str">
            <v>C102040</v>
          </cell>
          <cell r="B163" t="str">
            <v>C102</v>
          </cell>
          <cell r="C163" t="str">
            <v>040</v>
          </cell>
          <cell r="D163" t="str">
            <v>C102040_1</v>
          </cell>
          <cell r="E163" t="str">
            <v>CYP102ServiceTypeReferredTo</v>
          </cell>
          <cell r="F163" t="str">
            <v>REFERRAL CLOSURE REASON</v>
          </cell>
          <cell r="G163">
            <v>0</v>
          </cell>
          <cell r="H163">
            <v>162</v>
          </cell>
          <cell r="I163" t="str">
            <v>The reason that a Referral Request has been closed. A Referral Request can be closed as a result of a Patient being discharged from the SERVICE.
Cancelled referrals such as those entered onto a system in error should not be submitted within the data set.</v>
          </cell>
          <cell r="J163" t="str">
            <v>an2</v>
          </cell>
          <cell r="K163" t="str">
            <v>N/A</v>
          </cell>
          <cell r="L163" t="str">
            <v>Reject</v>
          </cell>
          <cell r="M163" t="str">
            <v>Warning</v>
          </cell>
          <cell r="N163" t="str">
            <v>If Referral Closure Date is populated but Referral Closure Reason is blank, a warning will be generated.</v>
          </cell>
          <cell r="O163" t="str">
            <v>All to analyse by data item</v>
          </cell>
          <cell r="P163" t="str">
            <v>To analyse on the reason for rejection of a referral.</v>
          </cell>
          <cell r="Q163" t="str">
            <v>R</v>
          </cell>
          <cell r="R163">
            <v>3</v>
          </cell>
          <cell r="S163" t="str">
            <v>CYP10211 - Record rejected - Referral Closure Reason has incorrect data format. Service Request Identifier=&lt;C102902&gt;  Local Patient Identifier (Extended)=&lt;C101901&gt;
CYP10212 - Warning - Referral Closure Reason contains an invalid Referral Closure Reason. Service Request Identifier=&lt;C102902&gt; Local Patient Identifier (Extended)=&lt;C101901&gt; Referral Closure Reason=&lt;C102040&gt;
CYP10222 - Warning - Referral Closure Date is populated but Referral Closure Reason is blank. Service Request Identifier=&lt;C102902&gt; Local Patient Identifier (Extended)=&lt;C101901&gt;</v>
          </cell>
        </row>
        <row r="164">
          <cell r="A164" t="str">
            <v>C102050</v>
          </cell>
          <cell r="B164" t="str">
            <v>C102</v>
          </cell>
          <cell r="C164" t="str">
            <v>050</v>
          </cell>
          <cell r="D164" t="str">
            <v>C102050_1</v>
          </cell>
          <cell r="E164" t="str">
            <v>CYP102ServiceTypeReferredTo</v>
          </cell>
          <cell r="F164" t="str">
            <v>REFERRAL REJECTION REASON</v>
          </cell>
          <cell r="G164">
            <v>0</v>
          </cell>
          <cell r="H164">
            <v>163</v>
          </cell>
          <cell r="I164" t="str">
            <v>The reason that a Referral Request has been rejected by the SERVICE.</v>
          </cell>
          <cell r="J164" t="str">
            <v>an2</v>
          </cell>
          <cell r="K164" t="str">
            <v>N/A</v>
          </cell>
          <cell r="L164" t="str">
            <v>Reject</v>
          </cell>
          <cell r="M164" t="str">
            <v>Warning</v>
          </cell>
          <cell r="N164" t="str">
            <v>If Referral Rejection Date is populated but Referral Rejection Reason is blank, a warning will be generated.</v>
          </cell>
          <cell r="O164" t="str">
            <v>All to analyse by data item</v>
          </cell>
          <cell r="P164" t="str">
            <v>To analyse on the reason for rejection of a referral.</v>
          </cell>
          <cell r="Q164" t="str">
            <v>R</v>
          </cell>
          <cell r="R164">
            <v>3</v>
          </cell>
          <cell r="S164" t="str">
            <v>CYP10215 - Record rejected - Referral Rejection Reason has incorrect data format. Service Request Identifier=&lt;C102902&gt; Local Patient Identifier (Extended)=&lt;C101901&gt;
CYP10216 - Warning - Referral Rejection Reason contains an invalid Referral Rejection Reason. Service Request Identifier=&lt;C102902&gt; Local Patient Identifier (Extended)=&lt;C101901&gt; Referral Rejection Reason=&lt;C102050&gt;
CYP10223 - Warning - Referral Rejection Date is populated but Referral Rejection Reason is blank. Service Request Identifier=&lt;C102902&gt; Local Patient Identifier (Extended)=&lt;C101901&gt;</v>
          </cell>
        </row>
        <row r="165">
          <cell r="A165" t="str">
            <v>C102D01</v>
          </cell>
          <cell r="E165" t="str">
            <v>CYP102ServiceTypeReferredTo</v>
          </cell>
          <cell r="F165" t="str">
            <v>RECORD NUMBER</v>
          </cell>
          <cell r="G165">
            <v>1</v>
          </cell>
          <cell r="H165">
            <v>164</v>
          </cell>
          <cell r="I165" t="str">
            <v>Record number in this extract file</v>
          </cell>
          <cell r="J165" t="str">
            <v>max n6</v>
          </cell>
        </row>
        <row r="166">
          <cell r="A166" t="str">
            <v>C102D02</v>
          </cell>
          <cell r="E166" t="str">
            <v>CYP102ServiceTypeReferredTo</v>
          </cell>
          <cell r="F166" t="str">
            <v>CYP102 UNIQUE ID</v>
          </cell>
          <cell r="G166">
            <v>1</v>
          </cell>
          <cell r="H166">
            <v>165</v>
          </cell>
          <cell r="I166" t="str">
            <v>A unique ID per table.  This continues across reporting periods and across providers.  This uniquely identifies a row of data within a table.</v>
          </cell>
          <cell r="J166" t="str">
            <v>min n6 max n20</v>
          </cell>
        </row>
        <row r="167">
          <cell r="A167" t="str">
            <v>C102D03</v>
          </cell>
          <cell r="E167" t="str">
            <v>CYP102ServiceTypeReferredTo</v>
          </cell>
          <cell r="F167" t="str">
            <v>ORGANISATION CODE (PROVIDER)</v>
          </cell>
          <cell r="G167">
            <v>1</v>
          </cell>
          <cell r="H167">
            <v>166</v>
          </cell>
          <cell r="I167" t="str">
            <v>Organisation code of provider submitting the data</v>
          </cell>
          <cell r="J167" t="str">
            <v>max an6</v>
          </cell>
        </row>
        <row r="168">
          <cell r="A168" t="str">
            <v>C102D04</v>
          </cell>
          <cell r="E168" t="str">
            <v>CYP102ServiceTypeReferredTo</v>
          </cell>
          <cell r="F168" t="str">
            <v>UNIQUE CYPHS ID (PATIENT)</v>
          </cell>
          <cell r="G168">
            <v>1</v>
          </cell>
          <cell r="H168">
            <v>167</v>
          </cell>
          <cell r="I168" t="str">
            <v>A nationally unique ID for the patient in the CYPHS Data Set generated from an index held by the BSP.</v>
          </cell>
          <cell r="J168" t="str">
            <v>max n10</v>
          </cell>
        </row>
        <row r="169">
          <cell r="A169" t="str">
            <v>C102D05</v>
          </cell>
          <cell r="E169" t="str">
            <v>CYP102ServiceTypeReferredTo</v>
          </cell>
          <cell r="F169" t="str">
            <v>BSP UNIQUE ID</v>
          </cell>
          <cell r="G169">
            <v>1</v>
          </cell>
          <cell r="H169">
            <v>168</v>
          </cell>
          <cell r="I169" t="str">
            <v xml:space="preserve">A unique ID applied when original data file was uploaded to the Bureau Service Portal. Where a single upload is used to provide data for different reporting periods, there will be a separate BSPUniqueID assigned to each reporting period.  </v>
          </cell>
          <cell r="J169" t="str">
            <v>max n6</v>
          </cell>
        </row>
        <row r="170">
          <cell r="A170" t="str">
            <v>C102D06</v>
          </cell>
          <cell r="E170" t="str">
            <v>CYP102ServiceTypeReferredTo</v>
          </cell>
          <cell r="F170" t="str">
            <v>UNIQUE SERVICE REQUEST IDENTIFIER</v>
          </cell>
          <cell r="G170">
            <v>1</v>
          </cell>
          <cell r="H170">
            <v>169</v>
          </cell>
          <cell r="I170" t="str">
            <v>To uniquely identify the referral</v>
          </cell>
          <cell r="J170" t="str">
            <v>max an26</v>
          </cell>
        </row>
        <row r="171">
          <cell r="A171" t="str">
            <v>C102D07</v>
          </cell>
          <cell r="E171" t="str">
            <v>CYP102ServiceTypeReferredTo</v>
          </cell>
          <cell r="F171" t="str">
            <v>UNIQUE CARE PROFESSIONAL TEAM LOCAL IDENTIFIER</v>
          </cell>
          <cell r="G171">
            <v>1</v>
          </cell>
          <cell r="H171">
            <v>170</v>
          </cell>
          <cell r="I171" t="str">
            <v>A unique identifier generated from the CARE PROFESSIONAL TEAM LOCAL IDENTIFIER and the ORGANISATION CODE (CODE OF PROVIDER) from CYP000.</v>
          </cell>
          <cell r="J171" t="str">
            <v>max an26</v>
          </cell>
        </row>
        <row r="172">
          <cell r="A172" t="str">
            <v>C102D08</v>
          </cell>
          <cell r="E172" t="str">
            <v>CYP102ServiceTypeReferredTo</v>
          </cell>
          <cell r="F172" t="str">
            <v>AGE AT SERVICE REFERRAL CLOSURE</v>
          </cell>
          <cell r="G172">
            <v>1</v>
          </cell>
          <cell r="H172">
            <v>171</v>
          </cell>
          <cell r="I172" t="str">
            <v>Age at Service Referral Closure</v>
          </cell>
          <cell r="J172" t="str">
            <v>max n2</v>
          </cell>
        </row>
        <row r="173">
          <cell r="A173" t="str">
            <v>C102D09</v>
          </cell>
          <cell r="E173" t="str">
            <v>CYP102ServiceTypeReferredTo</v>
          </cell>
          <cell r="F173" t="str">
            <v>AGE AT SERVICE REFERRAL REJECTION</v>
          </cell>
          <cell r="G173">
            <v>1</v>
          </cell>
          <cell r="H173">
            <v>172</v>
          </cell>
          <cell r="I173" t="str">
            <v>Age at Service Referral Rejection</v>
          </cell>
          <cell r="J173" t="str">
            <v>max n2</v>
          </cell>
        </row>
        <row r="174">
          <cell r="A174" t="str">
            <v>C103902</v>
          </cell>
          <cell r="B174" t="str">
            <v>C103</v>
          </cell>
          <cell r="C174" t="str">
            <v>902</v>
          </cell>
          <cell r="D174" t="str">
            <v>902_3</v>
          </cell>
          <cell r="E174" t="str">
            <v>CYP103OtherReasonReferral</v>
          </cell>
          <cell r="F174" t="str">
            <v>SERVICE REQUEST IDENTIFIER</v>
          </cell>
          <cell r="G174">
            <v>0</v>
          </cell>
          <cell r="H174">
            <v>173</v>
          </cell>
          <cell r="I174" t="str">
            <v>The unique identifier for a SERVICE REQUEST. 
It would normally be automatically generated by the local system upon recording a new Referral, although could be manually assigned.</v>
          </cell>
          <cell r="J174" t="str">
            <v>max an20</v>
          </cell>
          <cell r="K174" t="str">
            <v>Reject</v>
          </cell>
          <cell r="L174" t="str">
            <v>Reject</v>
          </cell>
          <cell r="M174" t="str">
            <v>N/A</v>
          </cell>
          <cell r="O174" t="str">
            <v>All to identify referral</v>
          </cell>
          <cell r="P174" t="str">
            <v>Used to uniquely identify a referral</v>
          </cell>
          <cell r="Q174" t="str">
            <v>M</v>
          </cell>
          <cell r="R174">
            <v>2</v>
          </cell>
          <cell r="S174" t="str">
            <v>CYP10303 - Record rejected - Service Request Identifier is blank. 
CYP10304 - Record rejected - Service Request Identifier has incorrect data format. Service Request Identifier=&lt;C103902&gt;</v>
          </cell>
        </row>
        <row r="175">
          <cell r="A175" t="str">
            <v>C103010</v>
          </cell>
          <cell r="B175" t="str">
            <v>C103</v>
          </cell>
          <cell r="C175" t="str">
            <v>010</v>
          </cell>
          <cell r="D175" t="str">
            <v>C103010_1</v>
          </cell>
          <cell r="E175" t="str">
            <v>CYP103OtherReasonReferral</v>
          </cell>
          <cell r="F175" t="str">
            <v>OTHER REASON FOR REFERRAL (COMMUNITY CARE)</v>
          </cell>
          <cell r="G175">
            <v>0</v>
          </cell>
          <cell r="H175">
            <v>174</v>
          </cell>
          <cell r="I175" t="str">
            <v>The secondary presenting conditions or symptoms for which the patient was referred to a Community Health Service.</v>
          </cell>
          <cell r="J175" t="str">
            <v>an3</v>
          </cell>
          <cell r="K175" t="str">
            <v>Reject</v>
          </cell>
          <cell r="L175" t="str">
            <v>Reject</v>
          </cell>
          <cell r="M175" t="str">
            <v>Warning</v>
          </cell>
          <cell r="O175" t="str">
            <v>Used for analysis of this data item</v>
          </cell>
          <cell r="P175" t="str">
            <v>Required for measuring Quality &amp; Performance - RTT and Response Times</v>
          </cell>
          <cell r="Q175" t="str">
            <v>M</v>
          </cell>
          <cell r="R175">
            <v>3</v>
          </cell>
          <cell r="S175" t="str">
            <v>CYP10305 - Record rejected - Other Reason For Referral (Community Care) is blank. Service Request Identifier=&lt;C103902&gt;  Local Patient Identifier (Extended)=&lt;C101901&gt;
CYP10306 - Record rejected - Other Reason For Referral (Community Care) has incorrect data format. Service Request Identifier=&lt;C103902&gt;  Local Patient Identifier (Extended)=&lt;C101901&gt;
CYP10307 - Warning - Other Reason For Referral (Community Care) contains an invalid Other Reason For Referral (Community Care). Service Request Identifier=&lt;C103902&gt; LocalPatientId=&lt;C101901&gt; Other Reason For Referral (Community Care)=&lt;C103010&gt;</v>
          </cell>
        </row>
        <row r="176">
          <cell r="A176" t="str">
            <v>C103D01</v>
          </cell>
          <cell r="E176" t="str">
            <v>CYP103OtherReasonReferral</v>
          </cell>
          <cell r="F176" t="str">
            <v>RECORD NUMBER</v>
          </cell>
          <cell r="G176">
            <v>1</v>
          </cell>
          <cell r="H176">
            <v>175</v>
          </cell>
          <cell r="I176" t="str">
            <v>Record number in this extract file</v>
          </cell>
          <cell r="J176" t="str">
            <v>max n6</v>
          </cell>
        </row>
        <row r="177">
          <cell r="A177" t="str">
            <v>C103D02</v>
          </cell>
          <cell r="E177" t="str">
            <v>CYP103OtherReasonReferral</v>
          </cell>
          <cell r="F177" t="str">
            <v>CYP103 UNIQUE ID</v>
          </cell>
          <cell r="G177">
            <v>1</v>
          </cell>
          <cell r="H177">
            <v>176</v>
          </cell>
          <cell r="I177" t="str">
            <v>A unique ID per table.  This continues across reporting periods and across providers.  This uniquely identifies a row of data within a table.</v>
          </cell>
          <cell r="J177" t="str">
            <v>min n6 max n20</v>
          </cell>
        </row>
        <row r="178">
          <cell r="A178" t="str">
            <v>C103D03</v>
          </cell>
          <cell r="E178" t="str">
            <v>CYP103OtherReasonReferral</v>
          </cell>
          <cell r="F178" t="str">
            <v>ORGANISATION CODE (PROVIDER)</v>
          </cell>
          <cell r="G178">
            <v>1</v>
          </cell>
          <cell r="H178">
            <v>177</v>
          </cell>
          <cell r="I178" t="str">
            <v>Organisation code of provider submitting the data</v>
          </cell>
          <cell r="J178" t="str">
            <v>max an6</v>
          </cell>
        </row>
        <row r="179">
          <cell r="A179" t="str">
            <v>C103D04</v>
          </cell>
          <cell r="E179" t="str">
            <v>CYP103OtherReasonReferral</v>
          </cell>
          <cell r="F179" t="str">
            <v>UNIQUE CYPHS ID (PATIENT)</v>
          </cell>
          <cell r="G179">
            <v>1</v>
          </cell>
          <cell r="H179">
            <v>178</v>
          </cell>
          <cell r="I179" t="str">
            <v>A nationally unique ID for the patient in the CYPHS Data Set generated from an index held by the BSP.</v>
          </cell>
          <cell r="J179" t="str">
            <v>max n10</v>
          </cell>
        </row>
        <row r="180">
          <cell r="A180" t="str">
            <v>C103D05</v>
          </cell>
          <cell r="E180" t="str">
            <v>CYP103OtherReasonReferral</v>
          </cell>
          <cell r="F180" t="str">
            <v>BSP UNIQUE ID</v>
          </cell>
          <cell r="G180">
            <v>1</v>
          </cell>
          <cell r="H180">
            <v>179</v>
          </cell>
          <cell r="I180" t="str">
            <v xml:space="preserve">A unique ID applied when original data file was uploaded to the Bureau Service Portal. Where a single upload is used to provide data for different reporting periods, there will be a separate BSPUniqueID assigned to each reporting period.  </v>
          </cell>
          <cell r="J180" t="str">
            <v>max n6</v>
          </cell>
        </row>
        <row r="181">
          <cell r="A181" t="str">
            <v>C103D06</v>
          </cell>
          <cell r="E181" t="str">
            <v>CYP103OtherReasonReferral</v>
          </cell>
          <cell r="F181" t="str">
            <v>UNIQUE SERVICE REQUEST IDENTIFIER</v>
          </cell>
          <cell r="G181">
            <v>1</v>
          </cell>
          <cell r="H181">
            <v>180</v>
          </cell>
          <cell r="I181" t="str">
            <v>To uniquely identify the referral</v>
          </cell>
          <cell r="J181" t="str">
            <v>max an26</v>
          </cell>
        </row>
        <row r="182">
          <cell r="A182" t="str">
            <v>C104902</v>
          </cell>
          <cell r="B182" t="str">
            <v>C104</v>
          </cell>
          <cell r="C182" t="str">
            <v>902</v>
          </cell>
          <cell r="D182" t="str">
            <v>902_4</v>
          </cell>
          <cell r="E182" t="str">
            <v>CYP104RTT</v>
          </cell>
          <cell r="F182" t="str">
            <v>SERVICE REQUEST IDENTIFIER</v>
          </cell>
          <cell r="G182">
            <v>0</v>
          </cell>
          <cell r="H182">
            <v>181</v>
          </cell>
          <cell r="I182" t="str">
            <v>The unique identifier for a SERVICE REQUEST. 
It would normally be automatically generated by the local system upon recording a new Referral, although could be manually assigned.</v>
          </cell>
          <cell r="J182" t="str">
            <v>max an20</v>
          </cell>
          <cell r="K182" t="str">
            <v>Reject</v>
          </cell>
          <cell r="L182" t="str">
            <v>Reject</v>
          </cell>
          <cell r="M182" t="str">
            <v>N/A</v>
          </cell>
          <cell r="O182" t="str">
            <v>All to identify referral</v>
          </cell>
          <cell r="P182" t="str">
            <v>Used to uniquely identify a referral</v>
          </cell>
          <cell r="Q182" t="str">
            <v>M</v>
          </cell>
          <cell r="R182">
            <v>2</v>
          </cell>
          <cell r="S182" t="str">
            <v xml:space="preserve">CYP10403 - Record rejected - Service Request Identifier is blank. 
CYP10404 - Record rejected - Service Request Identifier has incorrect data format. Service Request Identifier=&lt;C104902&gt; </v>
          </cell>
        </row>
        <row r="183">
          <cell r="A183" t="str">
            <v>C104010</v>
          </cell>
          <cell r="B183" t="str">
            <v>C104</v>
          </cell>
          <cell r="C183" t="str">
            <v>010</v>
          </cell>
          <cell r="D183" t="str">
            <v>C104010_1</v>
          </cell>
          <cell r="E183" t="str">
            <v>CYP104RTT</v>
          </cell>
          <cell r="F183" t="str">
            <v>UNIQUE BOOKING REFERENCE NUMBER (CONVERTED)</v>
          </cell>
          <cell r="G183">
            <v>0</v>
          </cell>
          <cell r="H183">
            <v>182</v>
          </cell>
          <cell r="I183" t="str">
            <v>The unique booking reference number assigned by the Choose and Book system when a PATIENT accepts an APPOINTMENT DATE OFFERED of an APPOINTMENT OFFER where the offer was made via the Choose and Book system.
When a PATIENT accepts an APPOINTMENT DATE OFFERED, the unique booking reference number issued and used during the booking process is considered to be 'converted' i.e. an APPOINTMENT has been created and recorded; and the PATIENT has been placed on an Out-Patient Waiting List even if subsequently the PATIENT does not attend or cancels the APPOINTMENT.</v>
          </cell>
          <cell r="J183" t="str">
            <v>n12</v>
          </cell>
          <cell r="K183" t="str">
            <v>N/A</v>
          </cell>
          <cell r="L183" t="str">
            <v>Reject</v>
          </cell>
          <cell r="M183" t="str">
            <v>N/A</v>
          </cell>
          <cell r="O183" t="str">
            <v>All to identify a booking</v>
          </cell>
          <cell r="P183" t="str">
            <v>For RTT</v>
          </cell>
          <cell r="Q183" t="str">
            <v>R</v>
          </cell>
          <cell r="R183">
            <v>1</v>
          </cell>
          <cell r="S183" t="str">
            <v>CYP10406 - Record rejected - Unique Booking Reference Number (Converted) has incorrect data format. Service Request Identifier=&lt;C104902&gt; Local Patient Identifier (Extended)=&lt;C101901&gt;</v>
          </cell>
        </row>
        <row r="184">
          <cell r="A184" t="str">
            <v>C104020</v>
          </cell>
          <cell r="B184" t="str">
            <v>C104</v>
          </cell>
          <cell r="C184" t="str">
            <v>020</v>
          </cell>
          <cell r="D184" t="str">
            <v>C104020_1</v>
          </cell>
          <cell r="E184" t="str">
            <v>CYP104RTT</v>
          </cell>
          <cell r="F184" t="str">
            <v>PATIENT PATHWAY IDENTIFIER</v>
          </cell>
          <cell r="G184">
            <v>0</v>
          </cell>
          <cell r="H184">
            <v>183</v>
          </cell>
          <cell r="I184" t="str">
            <v>An identifier, which together with the ORGANISATION CODE of the issuer, uniquely identifies a PATIENT PATHWAY.</v>
          </cell>
          <cell r="J184" t="str">
            <v>an20</v>
          </cell>
          <cell r="K184" t="str">
            <v>N/A</v>
          </cell>
          <cell r="L184" t="str">
            <v>Reject</v>
          </cell>
          <cell r="M184" t="str">
            <v>N/A</v>
          </cell>
          <cell r="O184" t="str">
            <v>All to identify a patient pathway</v>
          </cell>
          <cell r="P184" t="str">
            <v>for RTT</v>
          </cell>
          <cell r="Q184" t="str">
            <v>R</v>
          </cell>
          <cell r="R184">
            <v>1</v>
          </cell>
          <cell r="S184" t="str">
            <v>CYP10407 - Record rejected - Patient Pathway Identifier has incorrect data format. Service Request Identifier=&lt;C104902&gt; Local Patient Identifier (Extended)=&lt;C101901&gt;</v>
          </cell>
        </row>
        <row r="185">
          <cell r="A185" t="str">
            <v>C104030</v>
          </cell>
          <cell r="B185" t="str">
            <v>C104</v>
          </cell>
          <cell r="C185" t="str">
            <v>030</v>
          </cell>
          <cell r="D185" t="str">
            <v>C104030_1</v>
          </cell>
          <cell r="E185" t="str">
            <v>CYP104RTT</v>
          </cell>
          <cell r="F185" t="str">
            <v>ORGANISATION CODE (PATIENT PATHWAY IDENTIFIER ISSUER)</v>
          </cell>
          <cell r="G185">
            <v>0</v>
          </cell>
          <cell r="H185">
            <v>184</v>
          </cell>
          <cell r="I185" t="str">
            <v>This is the ORGANISATION CODE of the ORGANISATION issuing the PATIENT PATHWAY IDENTIFIER. 
Where Choose and Book has been used, the ORGANISATION CODE X09 should be used.</v>
          </cell>
          <cell r="J185" t="str">
            <v>max an5</v>
          </cell>
          <cell r="K185" t="str">
            <v>N/A</v>
          </cell>
          <cell r="L185" t="str">
            <v>Reject</v>
          </cell>
          <cell r="M185" t="str">
            <v>Warning</v>
          </cell>
          <cell r="O185" t="str">
            <v>All to identify individual</v>
          </cell>
          <cell r="P185" t="str">
            <v>for RTT</v>
          </cell>
          <cell r="Q185" t="str">
            <v>R</v>
          </cell>
          <cell r="R185">
            <v>2</v>
          </cell>
          <cell r="S185" t="str">
            <v>CYP10408 - Record rejected - Organisation Code (Patient Pathway Identifier Issuer) has incorrect data format. Service Request Identifier=&lt;C104902&gt; Local Patient Identifier (Extended)=&lt;C101901&gt;
CYP10409 - Warning - Organisation Code (Patient Pathway Identifier Issuer) is not for a current live organisation in national tables. Service Request Identifier=&lt;C104902&gt; Local Patient Identifier (Extended)=&lt;C101901&gt;Organisation Code (Patient Pathway Identifier Issuer) = &lt;C104030&gt;</v>
          </cell>
        </row>
        <row r="186">
          <cell r="A186" t="str">
            <v>C104040</v>
          </cell>
          <cell r="B186" t="str">
            <v>C104</v>
          </cell>
          <cell r="C186" t="str">
            <v>040</v>
          </cell>
          <cell r="D186" t="str">
            <v>C104040_1</v>
          </cell>
          <cell r="E186" t="str">
            <v>CYP104RTT</v>
          </cell>
          <cell r="F186" t="str">
            <v>WAITING TIME MEASUREMENT TYPE</v>
          </cell>
          <cell r="G186">
            <v>0</v>
          </cell>
          <cell r="H186">
            <v>185</v>
          </cell>
          <cell r="I186" t="str">
            <v>The type of waiting time measurement methodology which may be applied during a PATIENT PATHWAY. The methodology applied may be for one part of a PATIENT PATHWAY, such as the measurement of a REFERRAL TO TREATMENT PERIOD, or other parts of the PATIENT PATHWAY according to Department of Health policy.</v>
          </cell>
          <cell r="J186" t="str">
            <v>an2</v>
          </cell>
          <cell r="K186" t="str">
            <v>N/A</v>
          </cell>
          <cell r="L186" t="str">
            <v>Reject</v>
          </cell>
          <cell r="M186" t="str">
            <v>Warning</v>
          </cell>
          <cell r="O186" t="str">
            <v>All to analyse this data item</v>
          </cell>
          <cell r="P186" t="str">
            <v>To analyse the reason for rejection of a referral</v>
          </cell>
          <cell r="Q186" t="str">
            <v>R</v>
          </cell>
          <cell r="R186">
            <v>2</v>
          </cell>
          <cell r="S186" t="str">
            <v>CYP10410 - Record rejected - Waiting Time Measurement Type has incorrect data format. Service Request Identifier=&lt;C104902&gt; Local Patient Identifier (Extended)=&lt;C101901&gt;
CYP10411 - Warning - Waiting Time Measurement Type contains an invalid Waiting Time Measurement Type. Service Request Identifier=&lt;C104902&gt; Local Patient Identifier (Extended)=&lt;C101901&gt; Waiting Time Measurement Type=&lt;C104040&gt;</v>
          </cell>
        </row>
        <row r="187">
          <cell r="A187" t="str">
            <v>C104050</v>
          </cell>
          <cell r="B187" t="str">
            <v>C104</v>
          </cell>
          <cell r="C187" t="str">
            <v>050</v>
          </cell>
          <cell r="D187" t="str">
            <v>C104050_1</v>
          </cell>
          <cell r="E187" t="str">
            <v>CYP104RTT</v>
          </cell>
          <cell r="F187" t="str">
            <v>REFERRAL TO TREATMENT PERIOD START DATE</v>
          </cell>
          <cell r="G187">
            <v>0</v>
          </cell>
          <cell r="H187">
            <v>186</v>
          </cell>
          <cell r="I187" t="str">
            <v>The start date of a REFERRAL TO TREATMENT PERIOD.
See NHS Data Dictionary for further details and guidance</v>
          </cell>
          <cell r="J187" t="str">
            <v>an10
ccyy-mm-dd</v>
          </cell>
          <cell r="K187" t="str">
            <v>N/A</v>
          </cell>
          <cell r="L187" t="str">
            <v>Reject</v>
          </cell>
          <cell r="M187" t="str">
            <v>N/A</v>
          </cell>
          <cell r="N187" t="str">
            <v>If ReferralToTreatmentPeriodStartDate is populated and is after the end of the reporting period, the record will be rejected.</v>
          </cell>
          <cell r="O187" t="str">
            <v>All to analyse between the data item and other events</v>
          </cell>
          <cell r="P187" t="str">
            <v>Required for measuring quality and performance - RTT</v>
          </cell>
          <cell r="Q187" t="str">
            <v>R</v>
          </cell>
          <cell r="R187">
            <v>2</v>
          </cell>
          <cell r="S187" t="str">
            <v>CYP10412 - Record rejected - Referral To Treatment Period Start Date has incorrect date format. Service Request Identifier=&lt;C104902&gt; Local Patient Identifier (Extended)=&lt;C101901&gt;
CYP10417 - Record rejected - Referral To Treatment Period Start Date is after the end of the Reporting Period. Service Request Identifier=&lt;C104902&gt; Local Patient Identifier (Extended)=&lt;C101901&gt; Referral To Treatment Period Start Date=&lt;C104050&gt;</v>
          </cell>
        </row>
        <row r="188">
          <cell r="A188" t="str">
            <v>C104060</v>
          </cell>
          <cell r="B188" t="str">
            <v>C104</v>
          </cell>
          <cell r="C188" t="str">
            <v>060</v>
          </cell>
          <cell r="D188" t="str">
            <v>C104060_1</v>
          </cell>
          <cell r="E188" t="str">
            <v>CYP104RTT</v>
          </cell>
          <cell r="F188" t="str">
            <v>REFERRAL TO TREATMENT PERIOD END DATE</v>
          </cell>
          <cell r="G188">
            <v>0</v>
          </cell>
          <cell r="H188">
            <v>187</v>
          </cell>
          <cell r="I188" t="str">
            <v xml:space="preserve">The end date of a REFERRAL TO TREATMENT PERIOD.
See NHS Data Dictionary for further details and guidance:
</v>
          </cell>
          <cell r="J188" t="str">
            <v>an10
ccyy-mm-dd</v>
          </cell>
          <cell r="K188" t="str">
            <v>N/A</v>
          </cell>
          <cell r="L188" t="str">
            <v>Reject</v>
          </cell>
          <cell r="M188" t="str">
            <v>N/A</v>
          </cell>
          <cell r="N188" t="str">
            <v xml:space="preserve">If ReferralToTreatmentPeriodEndDate is populated and is after the end of the reporting period, the record will be rejected.
If ReferralToTreatmentPeriodEndDate is before the ReferralToTreatmentPeriodStartDate, the record will be rejected.
</v>
          </cell>
          <cell r="O188" t="str">
            <v>All to analyse between the data item and other events</v>
          </cell>
          <cell r="P188" t="str">
            <v>Required for measuring quality and performance - RTT</v>
          </cell>
          <cell r="Q188" t="str">
            <v>R</v>
          </cell>
          <cell r="R188">
            <v>3</v>
          </cell>
          <cell r="S188" t="str">
            <v>CYP10413 - Record rejected - Referral To Treatment Period End Date has incorrect date format. Service Request Identifier=&lt;C104902&gt; Local Patient Identifier (Extended)=&lt;C101901&gt;
CYP10416 - Record rejected - Referral To Treatment Period End Date is before the Referral To Treatment Period Start Date. Service Request Identifier=&lt;C104902&gt; Local Patient Identifier (Extended)=&lt;C101901&gt; Referral To Treatment Period End Date=&lt;C104060&gt;
CYP10405 - Record rejected - Referral To Treatment Period End Date is after the end of the Reporting Period. Service Request Identifier=&lt;C104902&gt; Local Patient Identifier (Extended)=&lt;C101901&gt; Referral To Treatment Period End Date=&lt;C104060&gt;</v>
          </cell>
        </row>
        <row r="189">
          <cell r="A189" t="str">
            <v>C104070</v>
          </cell>
          <cell r="B189" t="str">
            <v>C104</v>
          </cell>
          <cell r="C189" t="str">
            <v>070</v>
          </cell>
          <cell r="D189" t="str">
            <v>C104070_1</v>
          </cell>
          <cell r="E189" t="str">
            <v>CYP104RTT</v>
          </cell>
          <cell r="F189" t="str">
            <v>REFERRAL TO TREATMENT PERIOD STATUS</v>
          </cell>
          <cell r="G189">
            <v>0</v>
          </cell>
          <cell r="H189">
            <v>188</v>
          </cell>
          <cell r="I189" t="str">
            <v>The status of an ACTIVITY (or anticipated ACTIVITY) for the REFERRAL TO TREATMENT PERIOD decided by the lead
CARE PROFESSIONAL.</v>
          </cell>
          <cell r="J189" t="str">
            <v>an2</v>
          </cell>
          <cell r="K189" t="str">
            <v>N/A</v>
          </cell>
          <cell r="L189" t="str">
            <v>Reject</v>
          </cell>
          <cell r="M189" t="str">
            <v>Warning</v>
          </cell>
          <cell r="O189" t="str">
            <v>All to analyse between the data item and other events</v>
          </cell>
          <cell r="P189" t="str">
            <v>Required for measuring quality and performance - RTT</v>
          </cell>
          <cell r="Q189" t="str">
            <v>R</v>
          </cell>
          <cell r="R189">
            <v>2</v>
          </cell>
          <cell r="S189" t="str">
            <v>CYP10414 - Record rejected - Referral To Treatment Period Status has incorrect data format. Service Request Identifier=&lt;C104902&gt; Local Patient Identifier (Extended)=&lt;C101901&gt;
CYP10415 - Warning - Referral To Treatment Period Status contains an invalid Referral To Treatment Period Status. Service Request Identifier=&lt;C104902&gt; Local Patient Identifier (Extended)=&lt;C101901&gt; Referral To Treatment Period Status=&lt;C104070&gt;</v>
          </cell>
        </row>
        <row r="190">
          <cell r="A190" t="str">
            <v>C104D01</v>
          </cell>
          <cell r="E190" t="str">
            <v>CYP104RTT</v>
          </cell>
          <cell r="F190" t="str">
            <v>RECORD NUMBER</v>
          </cell>
          <cell r="G190">
            <v>1</v>
          </cell>
          <cell r="H190">
            <v>189</v>
          </cell>
          <cell r="I190" t="str">
            <v>Record number in this extract file.</v>
          </cell>
          <cell r="J190" t="str">
            <v>max n6</v>
          </cell>
        </row>
        <row r="191">
          <cell r="A191" t="str">
            <v>C104D02</v>
          </cell>
          <cell r="E191" t="str">
            <v>CYP104RTT</v>
          </cell>
          <cell r="F191" t="str">
            <v>CYP104 UNIQUE ID</v>
          </cell>
          <cell r="G191">
            <v>1</v>
          </cell>
          <cell r="H191">
            <v>190</v>
          </cell>
          <cell r="I191" t="str">
            <v>A unique ID per table.  This continues across reporting periods and across providers.  This uniquely identifies a row of data within a table.</v>
          </cell>
          <cell r="J191" t="str">
            <v>min n6 max n20</v>
          </cell>
        </row>
        <row r="192">
          <cell r="A192" t="str">
            <v>C104D03</v>
          </cell>
          <cell r="E192" t="str">
            <v>CYP104RTT</v>
          </cell>
          <cell r="F192" t="str">
            <v>ORGANISATION CODE (PROVIDER)</v>
          </cell>
          <cell r="G192">
            <v>1</v>
          </cell>
          <cell r="H192">
            <v>191</v>
          </cell>
          <cell r="I192" t="str">
            <v>Organisation code of provider submitting the data.</v>
          </cell>
          <cell r="J192" t="str">
            <v>max an6</v>
          </cell>
        </row>
        <row r="193">
          <cell r="A193" t="str">
            <v>C104D04</v>
          </cell>
          <cell r="E193" t="str">
            <v>CYP104RTT</v>
          </cell>
          <cell r="F193" t="str">
            <v>UNIQUE CYPHS ID (PATIENT)</v>
          </cell>
          <cell r="G193">
            <v>1</v>
          </cell>
          <cell r="H193">
            <v>192</v>
          </cell>
          <cell r="I193" t="str">
            <v>A nationally unique ID for the patient in the CYPHS Data Set generated from an index held by the BSP.</v>
          </cell>
          <cell r="J193" t="str">
            <v>max n10</v>
          </cell>
        </row>
        <row r="194">
          <cell r="A194" t="str">
            <v>C104D05</v>
          </cell>
          <cell r="E194" t="str">
            <v>CYP104RTT</v>
          </cell>
          <cell r="F194" t="str">
            <v>BSP UNIQUE ID</v>
          </cell>
          <cell r="G194">
            <v>1</v>
          </cell>
          <cell r="H194">
            <v>193</v>
          </cell>
          <cell r="I194" t="str">
            <v xml:space="preserve">A unique ID applied when original data file was uploaded to the Bureau Service Portal. Where a single upload is used to provide data for different reporting periods, there will be a separate BSPUniqueID assigned to each reporting period.  </v>
          </cell>
          <cell r="J194" t="str">
            <v>max n6</v>
          </cell>
        </row>
        <row r="195">
          <cell r="A195" t="str">
            <v>C104D06</v>
          </cell>
          <cell r="E195" t="str">
            <v>CYP104RTT</v>
          </cell>
          <cell r="F195" t="str">
            <v>UNIQUE SERVICE REQUEST IDENTIFIER</v>
          </cell>
          <cell r="G195">
            <v>1</v>
          </cell>
          <cell r="H195">
            <v>194</v>
          </cell>
          <cell r="I195" t="str">
            <v>To uniquely identify the referral</v>
          </cell>
          <cell r="J195" t="str">
            <v>max an26</v>
          </cell>
        </row>
        <row r="196">
          <cell r="A196" t="str">
            <v>C104D07</v>
          </cell>
          <cell r="E196" t="str">
            <v>CYP104RTT</v>
          </cell>
          <cell r="F196" t="str">
            <v>AGE AT REFERRAL TO TREATMENT START DATE</v>
          </cell>
          <cell r="G196">
            <v>1</v>
          </cell>
          <cell r="H196">
            <v>195</v>
          </cell>
          <cell r="I196" t="str">
            <v>Age at Referral to Treatment Start Date.</v>
          </cell>
          <cell r="J196" t="str">
            <v>max n2</v>
          </cell>
        </row>
        <row r="197">
          <cell r="A197" t="str">
            <v>C104D08</v>
          </cell>
          <cell r="E197" t="str">
            <v>CYP104RTT</v>
          </cell>
          <cell r="F197" t="str">
            <v>AGE AT REFERRAL TO TREATMENT END DATE</v>
          </cell>
          <cell r="G197">
            <v>1</v>
          </cell>
          <cell r="H197">
            <v>196</v>
          </cell>
          <cell r="I197" t="str">
            <v>Age at Referral to Treatment End Date.</v>
          </cell>
          <cell r="J197" t="str">
            <v>max n2</v>
          </cell>
        </row>
        <row r="198">
          <cell r="A198" t="str">
            <v>C104D09</v>
          </cell>
          <cell r="E198" t="str">
            <v>CYP104RTT</v>
          </cell>
          <cell r="F198" t="str">
            <v>TIME BETWEEN REFERRAL TO TREATMENT START AND END DATE</v>
          </cell>
          <cell r="G198">
            <v>1</v>
          </cell>
          <cell r="H198">
            <v>197</v>
          </cell>
          <cell r="I198" t="str">
            <v>Time Between Referral To Treatment Start And End Date.</v>
          </cell>
          <cell r="J198" t="str">
            <v>max n3</v>
          </cell>
        </row>
        <row r="199">
          <cell r="A199" t="str">
            <v>C105902</v>
          </cell>
          <cell r="B199" t="str">
            <v>C105</v>
          </cell>
          <cell r="C199" t="str">
            <v>902</v>
          </cell>
          <cell r="D199" t="str">
            <v>902_5</v>
          </cell>
          <cell r="E199" t="str">
            <v>CYP105OnwardReferral</v>
          </cell>
          <cell r="F199" t="str">
            <v>SERVICE REQUEST IDENTIFIER</v>
          </cell>
          <cell r="G199">
            <v>0</v>
          </cell>
          <cell r="H199">
            <v>198</v>
          </cell>
          <cell r="I199" t="str">
            <v>The unique identifier for a SERVICE REQUEST. 
It would normally be automatically generated by the local system upon recording a new Referral, although could be manually assigned.</v>
          </cell>
          <cell r="J199" t="str">
            <v>max an20</v>
          </cell>
          <cell r="K199" t="str">
            <v>Reject</v>
          </cell>
          <cell r="L199" t="str">
            <v>Reject</v>
          </cell>
          <cell r="M199" t="str">
            <v>N/A</v>
          </cell>
          <cell r="O199" t="str">
            <v>All to identify referral</v>
          </cell>
          <cell r="P199" t="str">
            <v>Used to uniquely identify a referral</v>
          </cell>
          <cell r="Q199" t="str">
            <v>M</v>
          </cell>
          <cell r="R199">
            <v>2</v>
          </cell>
          <cell r="S199" t="str">
            <v xml:space="preserve">CYP10503 - Record rejected - Service Request Identifier is blank. 
CYP10504 - Record rejected - Service Request Identifier has incorrect data format. Service Request Identifier=&lt;C105902&gt; </v>
          </cell>
        </row>
        <row r="200">
          <cell r="A200" t="str">
            <v>C105010</v>
          </cell>
          <cell r="B200" t="str">
            <v>C105</v>
          </cell>
          <cell r="C200" t="str">
            <v>010</v>
          </cell>
          <cell r="D200" t="str">
            <v>C105010_1</v>
          </cell>
          <cell r="E200" t="str">
            <v>CYP105OnwardReferral</v>
          </cell>
          <cell r="F200" t="str">
            <v>ONWARD REFERRAL DATE</v>
          </cell>
          <cell r="G200">
            <v>0</v>
          </cell>
          <cell r="H200">
            <v>199</v>
          </cell>
          <cell r="I200" t="str">
            <v>This will be the date the patient was referred to another service, which may be in the same or a different organisation.</v>
          </cell>
          <cell r="J200" t="str">
            <v>an10 (CCYY-MM-DD)</v>
          </cell>
          <cell r="K200" t="str">
            <v>Reject</v>
          </cell>
          <cell r="L200" t="str">
            <v>Reject</v>
          </cell>
          <cell r="M200" t="str">
            <v>N/A</v>
          </cell>
          <cell r="N200" t="str">
            <v>If OnwardReferralDate is populated and not within the reporting period, the group will be rejected.</v>
          </cell>
          <cell r="O200" t="str">
            <v>All to analyse between the data item and other events</v>
          </cell>
          <cell r="P200" t="str">
            <v>Required for measuring quality and performance</v>
          </cell>
          <cell r="Q200" t="str">
            <v>M</v>
          </cell>
          <cell r="R200">
            <v>4</v>
          </cell>
          <cell r="S200" t="str">
            <v>CYP10505 - Record rejected - Onward Referral Date is blank. Service Request Identifier=&lt;C105902&gt; Local Patient Identifier (Extended)=&lt;C101901&gt;
CYP10506 - Record rejected - Onward Referral Date has incorrect data format. Service Request Identifier=&lt;C105902&gt; Local Patient Identifier (Extended)=&lt;C101901&gt;
CYP10511 - Record rejected - Onward Referral Date is before the start of the reporting period. Service Request Identifier=&lt;C105902&gt; Local Patient Identifier (Extended)=&lt;C101901&gt; Onward Referral Date=&lt;C105010&gt;
CYP10512 - Record rejected - Onward Referral Date is after the end of the reporting period. Service Request Identifier=&lt;C105902&gt; Local Patient Identifier (Extended)=&lt;C101901&gt; Onward Referral Date=&lt;C105010&gt;</v>
          </cell>
        </row>
        <row r="201">
          <cell r="A201" t="str">
            <v>C105020</v>
          </cell>
          <cell r="B201" t="str">
            <v>C105</v>
          </cell>
          <cell r="C201" t="str">
            <v>020</v>
          </cell>
          <cell r="D201" t="str">
            <v>C105020_1</v>
          </cell>
          <cell r="E201" t="str">
            <v>CYP105OnwardReferral</v>
          </cell>
          <cell r="F201" t="str">
            <v>ONWARD REFERRAL REASON</v>
          </cell>
          <cell r="G201">
            <v>0</v>
          </cell>
          <cell r="H201">
            <v>200</v>
          </cell>
          <cell r="I201" t="str">
            <v>The reason why the patient was referred to another service, which may be in the same or a different organisation.</v>
          </cell>
          <cell r="J201" t="str">
            <v>an2</v>
          </cell>
          <cell r="K201" t="str">
            <v>N/A</v>
          </cell>
          <cell r="L201" t="str">
            <v>Reject</v>
          </cell>
          <cell r="M201" t="str">
            <v>Warning</v>
          </cell>
          <cell r="O201" t="str">
            <v>All to analyse between the data item and other events</v>
          </cell>
          <cell r="P201" t="str">
            <v>Required for measuring quality and performance</v>
          </cell>
          <cell r="Q201" t="str">
            <v>R</v>
          </cell>
          <cell r="R201">
            <v>2</v>
          </cell>
          <cell r="S201" t="str">
            <v>CYP10507 - Record rejected - Onward Referral Reason has incorrect data format. Service Request Identifier=&lt;C105902&gt; Local Patient Identifier (Extended)=&lt;C101901&gt;
CYP10508 - Warning - Onward Referral Reason contains an invalid Onward Referral Reason. Service Request Identifier=&lt;C105902&gt;  Local Patient Identifier (Extended)=&lt;C101901&gt; Onward Referral Reason=&lt;C105020&gt;</v>
          </cell>
        </row>
        <row r="202">
          <cell r="A202" t="str">
            <v>C105030</v>
          </cell>
          <cell r="B202" t="str">
            <v>C105</v>
          </cell>
          <cell r="C202" t="str">
            <v>030</v>
          </cell>
          <cell r="D202" t="str">
            <v>C105030_1</v>
          </cell>
          <cell r="E202" t="str">
            <v>CYP105OnwardReferral</v>
          </cell>
          <cell r="F202" t="str">
            <v>ORGANISATION CODE (RECEIVING)</v>
          </cell>
          <cell r="G202">
            <v>0</v>
          </cell>
          <cell r="H202">
            <v>201</v>
          </cell>
          <cell r="I202" t="str">
            <v>ORGANISATION CODE (RECEIVING) is the ORGANISATION CODE of the ORGANISATION that is receiving the PATIENT from another Health Care Provider.</v>
          </cell>
          <cell r="J202" t="str">
            <v>an3 or an5</v>
          </cell>
          <cell r="K202" t="str">
            <v>N/A</v>
          </cell>
          <cell r="L202" t="str">
            <v>Reject</v>
          </cell>
          <cell r="M202" t="str">
            <v>Warning</v>
          </cell>
          <cell r="O202" t="str">
            <v>Used for analysis of this data item</v>
          </cell>
          <cell r="P202" t="str">
            <v>Required for reporting on Referral Receiver</v>
          </cell>
          <cell r="Q202" t="str">
            <v>R</v>
          </cell>
          <cell r="R202">
            <v>2</v>
          </cell>
          <cell r="S202" t="str">
            <v>CYP10509 - Record rejected - Organisation Code (Receiving) has incorrect data format. Service Request Identifier=&lt;C105902&gt; Local Patient Identifier (Extended)=&lt;C101901&gt;
CYP10510 - Warning - Organisation Code (Receiving) is not for a current live organisation in national tables. Service Request Identifier=&lt;C105902&gt; Local Patient Identifier (Extended)=&lt;C101901&gt; Organisation Code (Receiving) = &lt;C105030&gt;</v>
          </cell>
        </row>
        <row r="203">
          <cell r="A203" t="str">
            <v>C105D01</v>
          </cell>
          <cell r="E203" t="str">
            <v>CYP105OnwardReferral</v>
          </cell>
          <cell r="F203" t="str">
            <v>RECORD NUMBER</v>
          </cell>
          <cell r="G203">
            <v>1</v>
          </cell>
          <cell r="H203">
            <v>202</v>
          </cell>
          <cell r="I203" t="str">
            <v>Record number in this extract file.</v>
          </cell>
          <cell r="J203" t="str">
            <v>max n6</v>
          </cell>
        </row>
        <row r="204">
          <cell r="A204" t="str">
            <v>C105D02</v>
          </cell>
          <cell r="E204" t="str">
            <v>CYP105OnwardReferral</v>
          </cell>
          <cell r="F204" t="str">
            <v>CYP105 UNIQUE ID</v>
          </cell>
          <cell r="G204">
            <v>1</v>
          </cell>
          <cell r="H204">
            <v>203</v>
          </cell>
          <cell r="I204" t="str">
            <v>A unique ID per table.  This continues across reporting periods and across providers.  This uniquely identifies a row of data within a table.</v>
          </cell>
          <cell r="J204" t="str">
            <v>min n6 max n20</v>
          </cell>
        </row>
        <row r="205">
          <cell r="A205" t="str">
            <v>C105D03</v>
          </cell>
          <cell r="E205" t="str">
            <v>CYP105OnwardReferral</v>
          </cell>
          <cell r="F205" t="str">
            <v>ORGANISATION CODE (PROVIDER)</v>
          </cell>
          <cell r="G205">
            <v>1</v>
          </cell>
          <cell r="H205">
            <v>204</v>
          </cell>
          <cell r="I205" t="str">
            <v>Organisation code of provider submitting the data.</v>
          </cell>
          <cell r="J205" t="str">
            <v>max an6</v>
          </cell>
        </row>
        <row r="206">
          <cell r="A206" t="str">
            <v>C105D04</v>
          </cell>
          <cell r="E206" t="str">
            <v>CYP105OnwardReferral</v>
          </cell>
          <cell r="F206" t="str">
            <v>UNIQUE CYPHS ID (PATIENT)</v>
          </cell>
          <cell r="G206">
            <v>1</v>
          </cell>
          <cell r="H206">
            <v>205</v>
          </cell>
          <cell r="I206" t="str">
            <v>A nationally unique ID for the patient in the CYPHS Data Set generated from an index held by the BSP.</v>
          </cell>
          <cell r="J206" t="str">
            <v>max n10</v>
          </cell>
        </row>
        <row r="207">
          <cell r="A207" t="str">
            <v>C105D05</v>
          </cell>
          <cell r="E207" t="str">
            <v>CYP105OnwardReferral</v>
          </cell>
          <cell r="F207" t="str">
            <v>BSP UNIQUE ID</v>
          </cell>
          <cell r="G207">
            <v>1</v>
          </cell>
          <cell r="H207">
            <v>206</v>
          </cell>
          <cell r="I207" t="str">
            <v xml:space="preserve">A unique ID applied when original data file was uploaded to the Bureau Service Portal. Where a single upload is used to provide data for different reporting periods, there will be a separate BSPUniqueID assigned to each reporting period.  </v>
          </cell>
          <cell r="J207" t="str">
            <v>max n6</v>
          </cell>
        </row>
        <row r="208">
          <cell r="A208" t="str">
            <v>C105D06</v>
          </cell>
          <cell r="E208" t="str">
            <v>CYP105OnwardReferral</v>
          </cell>
          <cell r="F208" t="str">
            <v>UNIQUE SERVICE REQUEST IDENTIFIER</v>
          </cell>
          <cell r="G208">
            <v>1</v>
          </cell>
          <cell r="H208">
            <v>207</v>
          </cell>
          <cell r="I208" t="str">
            <v>To uniquely identify the referral</v>
          </cell>
          <cell r="J208" t="str">
            <v>max an26</v>
          </cell>
        </row>
        <row r="209">
          <cell r="A209" t="str">
            <v>C201902</v>
          </cell>
          <cell r="B209" t="str">
            <v>C201</v>
          </cell>
          <cell r="C209" t="str">
            <v>902</v>
          </cell>
          <cell r="D209" t="str">
            <v>902_6</v>
          </cell>
          <cell r="E209" t="str">
            <v>CYP201CareContact</v>
          </cell>
          <cell r="F209" t="str">
            <v>SERVICE REQUEST IDENTIFIER</v>
          </cell>
          <cell r="G209">
            <v>0</v>
          </cell>
          <cell r="H209">
            <v>208</v>
          </cell>
          <cell r="I209" t="str">
            <v>The unique identifier for a SERVICE REQUEST. 
It would normally be automatically generated by the local system upon recording a new Referral, although could be manually assigned.</v>
          </cell>
          <cell r="J209" t="str">
            <v>max an20</v>
          </cell>
          <cell r="K209" t="str">
            <v>Reject</v>
          </cell>
          <cell r="L209" t="str">
            <v>Reject</v>
          </cell>
          <cell r="M209" t="str">
            <v>N/A</v>
          </cell>
          <cell r="O209" t="str">
            <v>All to identify referral</v>
          </cell>
          <cell r="P209" t="str">
            <v>Used to uniquely identify a referral</v>
          </cell>
          <cell r="Q209" t="str">
            <v>M</v>
          </cell>
          <cell r="R209">
            <v>2</v>
          </cell>
          <cell r="S209" t="str">
            <v xml:space="preserve">CYP20105 - Record rejected - Service Request Identifier is blank. Care Contact Identifier=&lt;C201903&gt; 
CYP20106 - Record rejected - Service Request Identifier has incorrect data format. Care Contact Identifier=&lt;C201903&gt;  Service Request Identifier=&lt;C201902&gt; </v>
          </cell>
        </row>
        <row r="210">
          <cell r="A210" t="str">
            <v>C201912</v>
          </cell>
          <cell r="B210" t="str">
            <v>C201</v>
          </cell>
          <cell r="C210" t="str">
            <v>912</v>
          </cell>
          <cell r="D210" t="str">
            <v>912_2</v>
          </cell>
          <cell r="E210" t="str">
            <v>CYP201CareContact</v>
          </cell>
          <cell r="F210" t="str">
            <v>ORGANISATION CODE (CODE OF COMMISSIONER)</v>
          </cell>
          <cell r="G210">
            <v>0</v>
          </cell>
          <cell r="H210">
            <v>209</v>
          </cell>
          <cell r="I210" t="str">
            <v>This is the ORGANISATION CODE of the ORGANISATION commissioning health care.
This should always be the ORGANISATION CODE of the original commissioner for Commissioning Data Sets to support Payment by Results.
The Department of Health document "Who pays? Establishing the Responsible Commissioner" sets out a framework for establishing responsibility for commissioning an individual's care within the NHS, (i.e. determining who pays for a PATIENT’s care.) 
http://www.dh.gov.uk/en/Publicationsandstatistics/Publications/PublicationsPolicyAndGuidance/DH_078466
Further guidance is available on the NHS Data Dictionary Website:
http://www.datadictionary.nhs.uk/data_dictionary/data_field_notes/o/org/organisation_code_(code_of_commissioner)_de.asp?shownav=1</v>
          </cell>
          <cell r="J210" t="str">
            <v>an3 or an5</v>
          </cell>
          <cell r="K210" t="str">
            <v>N/A</v>
          </cell>
          <cell r="L210" t="str">
            <v>Reject</v>
          </cell>
          <cell r="M210" t="str">
            <v>Warning</v>
          </cell>
          <cell r="N210" t="str">
            <v>If OrgCodeCommissioner is not in national tables, a warning will be output</v>
          </cell>
          <cell r="O210" t="str">
            <v>Used to analyse by commisioner</v>
          </cell>
          <cell r="P210" t="str">
            <v>Required for identifying the Commissioner responsible for payment</v>
          </cell>
          <cell r="Q210" t="str">
            <v>R</v>
          </cell>
          <cell r="R210">
            <v>2</v>
          </cell>
          <cell r="S210" t="str">
            <v xml:space="preserve">CYP20110 - Record rejected - Organisation Code (Code of Commissioner) has incorrect data format. Care Contact Identifier=&lt;C201903&gt; Service Request Identifier=&lt;C201902&gt; Local Patient Identifier (Extended)=&lt;C101901&gt;
CYP20111 - Record rejected - Organisation Code (Code of Commissioner) is not for a current live organisation in national tables. Care Contact Identifier=&lt;C201903&gt; Service Request Identifier=&lt;C201902&gt; Local Patient Identifier (Extended)=&lt;C101901&gt; Organisation Code (Code of Commissioner) = &lt;C201912&gt; </v>
          </cell>
        </row>
        <row r="211">
          <cell r="A211" t="str">
            <v>C201903</v>
          </cell>
          <cell r="B211" t="str">
            <v>C201</v>
          </cell>
          <cell r="C211" t="str">
            <v>903</v>
          </cell>
          <cell r="D211" t="str">
            <v>903_1</v>
          </cell>
          <cell r="E211" t="str">
            <v>CYP201CareContact</v>
          </cell>
          <cell r="F211" t="str">
            <v>CARE CONTACT IDENTIFIER</v>
          </cell>
          <cell r="G211">
            <v>0</v>
          </cell>
          <cell r="H211">
            <v>210</v>
          </cell>
          <cell r="I211" t="str">
            <v>The CARE CONTACT IDENTIFIER is used to uniquely identify the CARE CONTACT within the Health Care Provider.
It would normally be automatically generated by the local system upon recording a new Care Contact, although could be manually assigned.</v>
          </cell>
          <cell r="J211" t="str">
            <v>max an20</v>
          </cell>
          <cell r="K211" t="str">
            <v>Reject</v>
          </cell>
          <cell r="L211" t="str">
            <v>Reject</v>
          </cell>
          <cell r="M211" t="str">
            <v>N/A</v>
          </cell>
          <cell r="O211" t="str">
            <v>Uniquely identify a care conatct</v>
          </cell>
          <cell r="P211" t="str">
            <v>Required for reporting on Care Activities</v>
          </cell>
          <cell r="Q211" t="str">
            <v>M</v>
          </cell>
          <cell r="R211">
            <v>2</v>
          </cell>
          <cell r="S211" t="str">
            <v xml:space="preserve">CYP20103 - Record rejected - Care Contact Identifier is blank. 
CYP20104 - Record rejected - Care Contact Identifier has incorrect data format. Care Contact Identifier=&lt;C201903&gt; Service Request Identifier=&lt;C201902&gt; </v>
          </cell>
        </row>
        <row r="212">
          <cell r="A212" t="str">
            <v>C201010</v>
          </cell>
          <cell r="B212" t="str">
            <v>C201</v>
          </cell>
          <cell r="C212" t="str">
            <v>010</v>
          </cell>
          <cell r="D212" t="str">
            <v>C201010_1</v>
          </cell>
          <cell r="E212" t="str">
            <v>CYP201CareContact</v>
          </cell>
          <cell r="F212" t="str">
            <v>CARE PROFESSIONAL TEAM LOCAL IDENTIFIER</v>
          </cell>
          <cell r="G212">
            <v>0</v>
          </cell>
          <cell r="H212">
            <v>211</v>
          </cell>
          <cell r="I212" t="str">
            <v>CARE PROFESSIONAL TEAM LOCAL IDENTIFIER is a unique local CARE PROFESSIONAL TEAM IDENTIFIER within a Health Care Provider and may be assigned automatically by the computer system.</v>
          </cell>
          <cell r="J212" t="str">
            <v>max an20</v>
          </cell>
          <cell r="K212" t="str">
            <v>N/A</v>
          </cell>
          <cell r="L212" t="str">
            <v>Reject</v>
          </cell>
          <cell r="M212" t="str">
            <v>N/A</v>
          </cell>
          <cell r="O212" t="str">
            <v>All to identify professional team</v>
          </cell>
          <cell r="P212" t="str">
            <v>Used to uniquely identify a professional team</v>
          </cell>
          <cell r="Q212" t="str">
            <v>R</v>
          </cell>
          <cell r="R212">
            <v>1</v>
          </cell>
          <cell r="S212" t="str">
            <v>CYP20144 - Record rejected - Care Professional Team Local Identifier has incorrect data format. Care Contact Identifier=&lt;C201903&gt; Service Request Identifier=&lt;C201902&gt; Local Patient Identifier (Extended)=&lt;C101901&gt;</v>
          </cell>
        </row>
        <row r="213">
          <cell r="A213" t="str">
            <v>C201020</v>
          </cell>
          <cell r="B213" t="str">
            <v>C201</v>
          </cell>
          <cell r="C213" t="str">
            <v>020</v>
          </cell>
          <cell r="D213" t="str">
            <v>C201020_1</v>
          </cell>
          <cell r="E213" t="str">
            <v>CYP201CareContact</v>
          </cell>
          <cell r="F213" t="str">
            <v>CARE CONTACT DATE</v>
          </cell>
          <cell r="G213">
            <v>0</v>
          </cell>
          <cell r="H213">
            <v>212</v>
          </cell>
          <cell r="I213" t="str">
            <v>The date on which a Care Contact took place, or, if cancelled, was scheduled to take place.
This should be recorded in the eGIF Date format CCYY-MM-DD.</v>
          </cell>
          <cell r="J213" t="str">
            <v>an10 (CCYY-MM-DD)</v>
          </cell>
          <cell r="K213" t="str">
            <v>Reject</v>
          </cell>
          <cell r="L213" t="str">
            <v>Reject</v>
          </cell>
          <cell r="M213" t="str">
            <v>N/A</v>
          </cell>
          <cell r="N213" t="str">
            <v>If CareContactDate is populated and not within the reporting period, the record will be rejected.</v>
          </cell>
          <cell r="O213" t="str">
            <v>All to analyse between the data item and other events</v>
          </cell>
          <cell r="P213" t="str">
            <v>Required for reporting on Care Activities, Performance of Care Professionals</v>
          </cell>
          <cell r="Q213" t="str">
            <v>M</v>
          </cell>
          <cell r="R213">
            <v>4</v>
          </cell>
          <cell r="S213" t="str">
            <v>CYP20107 - Record rejected - Care Contact Date is blank. Care Contact Identifier=&lt;C201903&gt; Service Request Identifier=&lt;C201902&gt; Local Patient Identifier (Extended)=&lt;C101901&gt;
CYP20108 - Record rejected - Care Contact Date has incorrect date format. Care Contact Identifier=&lt;C201903&gt; Service Request Identifier=&lt;C201902&gt; Local Patient Identifier (Extended)=&lt;C101901&gt;
CYP20101 - Record rejected - Care Contact Date is before the start of the reporting period. Care Contact Identifier=&lt;C201903&gt; Service Request Identifier=&lt;C201902&gt; Local Patient Identifier (Extended)=&lt;C101901&gt; Care Contact Date=&lt;C201020&gt;
CYP20127 - Record rejected - Care Contact Date is after the end of the reporting period. Care Contact Identifier=&lt;C201903&gt; Service Request Identifier=&lt;C201902&gt; Local Patient Identifier (Extended)=&lt;C101901&gt; Care Contact Date=&lt;C201020&gt;</v>
          </cell>
        </row>
        <row r="214">
          <cell r="A214" t="str">
            <v>C201030</v>
          </cell>
          <cell r="B214" t="str">
            <v>C201</v>
          </cell>
          <cell r="C214" t="str">
            <v>030</v>
          </cell>
          <cell r="D214" t="str">
            <v>C201030_1</v>
          </cell>
          <cell r="E214" t="str">
            <v>CYP201CareContact</v>
          </cell>
          <cell r="F214" t="str">
            <v>CARE CONTACT TIME</v>
          </cell>
          <cell r="G214">
            <v>0</v>
          </cell>
          <cell r="H214">
            <v>213</v>
          </cell>
          <cell r="I214" t="str">
            <v>The time at which a Care Contact took place.
The time should be recorded using the 24 hour clock format in eGIF format i.e. hh:mm:ss.</v>
          </cell>
          <cell r="J214" t="str">
            <v>an8
(hh:mm:ss)</v>
          </cell>
          <cell r="K214" t="str">
            <v>N/A</v>
          </cell>
          <cell r="L214" t="str">
            <v>Reject</v>
          </cell>
          <cell r="M214" t="str">
            <v>N/A</v>
          </cell>
          <cell r="O214" t="str">
            <v>All to analyse between the data item and other events</v>
          </cell>
          <cell r="P214" t="str">
            <v>To allow measurement waiting times between referral and first appointment for Priority/Urgent appointments.</v>
          </cell>
          <cell r="Q214" t="str">
            <v>R</v>
          </cell>
          <cell r="R214">
            <v>1</v>
          </cell>
          <cell r="S214" t="str">
            <v>CYP20109 - Record rejected - Care Contact TIme has incorrect time format. Care Contact Identifier=&lt;C201903&gt; Service Request Identifier=&lt;C201902&gt; Local Patient Identifier (Extended)=&lt;C101901&gt;</v>
          </cell>
        </row>
        <row r="215">
          <cell r="A215" t="str">
            <v>C201040</v>
          </cell>
          <cell r="B215" t="str">
            <v>C201</v>
          </cell>
          <cell r="C215" t="str">
            <v>040</v>
          </cell>
          <cell r="D215" t="str">
            <v>C201040_1</v>
          </cell>
          <cell r="E215" t="str">
            <v>CYP201CareContact</v>
          </cell>
          <cell r="F215" t="str">
            <v>ADMINISTRATIVE CATEGORY CODE</v>
          </cell>
          <cell r="G215">
            <v>0</v>
          </cell>
          <cell r="H215">
            <v>214</v>
          </cell>
          <cell r="I215" t="str">
            <v>This is recorded for PATIENT ACTIVITY.
A PATIENT who is an Overseas Visitor does not qualify for free NHS healthcare and can choose to pay for NHS treatment or for private treatment. If they pay for NHS treatment then they should be recorded as NHS PATIENTS.
The PATIENT's ADMINISTRATIVE CATEGORY CODE may change during an episode or spell. For example, the PATIENT may opt to change from NHS to private health care. In this case, the start and end dates for each new ADMINISTRATIVE CATEGORY PERIOD (episode or spell) should be recorded.
If the ADMINISTRATIVE CATEGORY CODE changes during a Hospital Provider Spell the ADMINISTRATIVE CATEGORY CODE (ON ADMISSION) is used to derive the 'Category of PATIENT' for Hospital Episode Statistics (HES).
The category 'amenity PATIENT' is only applicable to PATIENTS using a Hospital Bed.</v>
          </cell>
          <cell r="J215" t="str">
            <v>an2</v>
          </cell>
          <cell r="K215" t="str">
            <v>N/A</v>
          </cell>
          <cell r="L215" t="str">
            <v>Reject</v>
          </cell>
          <cell r="M215" t="str">
            <v>Warning</v>
          </cell>
          <cell r="O215" t="str">
            <v>All to analyse by administrative category</v>
          </cell>
          <cell r="P215" t="str">
            <v>Used to analyse different outcoed depending on administrative category</v>
          </cell>
          <cell r="Q215" t="str">
            <v>R</v>
          </cell>
          <cell r="R215">
            <v>2</v>
          </cell>
          <cell r="S215" t="str">
            <v xml:space="preserve">CYP20112 - Record rejected - Administrative Category Code has incorrect data format. Care Contact Identifier=&lt;C201903&gt; Service Request Identifier=&lt;C201902&gt; Local Patient Identifier (Extended)=&lt;C101901&gt;
CYP20113 - Warning - Administrative Category Code contains an invalid Administrative Category Code. Care Contact Identifier=&lt;C201903&gt; Service Request Identifier=&lt;C201902&gt; Local Patient Identifier (Extended)=&lt;C101901&gt; Administrative Category Code=&lt;C201040&gt; </v>
          </cell>
        </row>
        <row r="216">
          <cell r="A216" t="str">
            <v>C201050</v>
          </cell>
          <cell r="B216" t="str">
            <v>C201</v>
          </cell>
          <cell r="C216" t="str">
            <v>050</v>
          </cell>
          <cell r="D216" t="str">
            <v>C201050_1</v>
          </cell>
          <cell r="E216" t="str">
            <v>CYP201CareContact</v>
          </cell>
          <cell r="F216" t="str">
            <v>CLINICAL CONTACT DURATION OF CARE CONTACT</v>
          </cell>
          <cell r="G216">
            <v>0</v>
          </cell>
          <cell r="H216">
            <v>215</v>
          </cell>
          <cell r="I216" t="str">
            <v>The total duration of the direct clinical contact at CARE CONTACT in minutes, excluding any administration time prior to or after the CARE CONTACT and the CARE PROFESSIONAL's travelling time to the CARE CONTACT.
CLINICAL CONTACT DURATION OF CARE CONTACT includes the time spent on the different CARE ACTIVITIES that may be performed in a single CARE CONTACT. The duration of each CARE ACTIVITY is recorded in CLINICAL CONTACT DURATION OF CARE ACTIVITY.
This should be recorded in minutes.</v>
          </cell>
          <cell r="J216" t="str">
            <v>max n4</v>
          </cell>
          <cell r="K216" t="str">
            <v>N/A</v>
          </cell>
          <cell r="L216" t="str">
            <v>Reject</v>
          </cell>
          <cell r="M216" t="str">
            <v>N/A</v>
          </cell>
          <cell r="O216" t="str">
            <v>All to analyse of the data item</v>
          </cell>
          <cell r="P216" t="str">
            <v>Required for reporting on Care Activities, Performance of Care Professionals</v>
          </cell>
          <cell r="Q216" t="str">
            <v>R</v>
          </cell>
          <cell r="R216">
            <v>1</v>
          </cell>
          <cell r="S216" t="str">
            <v>CYP20114 - Record rejected - Clinical Contact Duration Of Care Contact has incorrect data format. Care Contact Identifier=&lt;C201903&gt; Service Request Identifier=&lt;C201902&gt; Local Patient Identifier (Extended)=&lt;C101901&gt;</v>
          </cell>
        </row>
        <row r="217">
          <cell r="A217" t="str">
            <v>C201060</v>
          </cell>
          <cell r="B217" t="str">
            <v>C201</v>
          </cell>
          <cell r="C217" t="str">
            <v>060</v>
          </cell>
          <cell r="D217" t="str">
            <v>C201060_1</v>
          </cell>
          <cell r="E217" t="str">
            <v>CYP201CareContact</v>
          </cell>
          <cell r="F217" t="str">
            <v>CONSULTATION TYPE</v>
          </cell>
          <cell r="G217">
            <v>0</v>
          </cell>
          <cell r="H217">
            <v>216</v>
          </cell>
          <cell r="I217" t="str">
            <v>This indicates the type of consultation for a SERVICE.</v>
          </cell>
          <cell r="J217" t="str">
            <v>an2</v>
          </cell>
          <cell r="K217" t="str">
            <v>N/A</v>
          </cell>
          <cell r="L217" t="str">
            <v>Reject</v>
          </cell>
          <cell r="M217" t="str">
            <v>Warning</v>
          </cell>
          <cell r="O217" t="str">
            <v>All to analyse of the data item</v>
          </cell>
          <cell r="P217" t="str">
            <v>Needed for Currency &amp; Pricing and Capacity Planning</v>
          </cell>
          <cell r="Q217" t="str">
            <v>R</v>
          </cell>
          <cell r="R217">
            <v>2</v>
          </cell>
          <cell r="S217" t="str">
            <v>CYP20115 - Record rejected - Consultation Type has incorrect data format. Care Contact Identifier=&lt;C201903&gt; Service Request Identifier=&lt;C201902&gt; Local Patient Identifier (Extended)=&lt;C101901&gt;
CYP20116 - Warning - Consultation Type contains an invalid Consultation Type. Care Contact Identifier=&lt;C201903&gt; Service Request Identifier=&lt;C201902&gt; Local Patient Identifier (Extended)=&lt;C101901&gt; Consultation Type=&lt;C201060&gt;</v>
          </cell>
        </row>
        <row r="218">
          <cell r="A218" t="str">
            <v>C201070</v>
          </cell>
          <cell r="B218" t="str">
            <v>C201</v>
          </cell>
          <cell r="C218" t="str">
            <v>070</v>
          </cell>
          <cell r="D218" t="str">
            <v>C201070_1</v>
          </cell>
          <cell r="E218" t="str">
            <v>CYP201CareContact</v>
          </cell>
          <cell r="F218" t="str">
            <v>CARE CONTACT SUBJECT</v>
          </cell>
          <cell r="G218">
            <v>0</v>
          </cell>
          <cell r="H218">
            <v>217</v>
          </cell>
          <cell r="I218" t="str">
            <v>The person who was the subject of the Care Contact.</v>
          </cell>
          <cell r="J218" t="str">
            <v>an2</v>
          </cell>
          <cell r="K218" t="str">
            <v>N/A</v>
          </cell>
          <cell r="L218" t="str">
            <v>Reject</v>
          </cell>
          <cell r="M218" t="str">
            <v>Warning</v>
          </cell>
          <cell r="O218" t="str">
            <v>All to analyse of the data item</v>
          </cell>
          <cell r="P218" t="str">
            <v>Required for Reporting on Quality and Performance</v>
          </cell>
          <cell r="Q218" t="str">
            <v>R</v>
          </cell>
          <cell r="R218">
            <v>2</v>
          </cell>
          <cell r="S218" t="str">
            <v>CYP20117 - Record rejected - Care Contact Subject has incorrect data format. Care Contact Identifier=&lt;C201903&gt; Service Request Identifier=&lt;C201902&gt; Local Patient Identifier (Extended)=&lt;C101901&gt;
CYP20118 - Warning - Care Contact Subject contains an invalid Care Contact Subject. Care Contact Identifier=&lt;C201903&gt; Service Request Identifier=&lt;C201902&gt; Local Patient Identifier (Extended)=&lt;C101901&gt; Care Contact Subject=&lt;C201070&gt;</v>
          </cell>
        </row>
        <row r="219">
          <cell r="A219" t="str">
            <v>C201080</v>
          </cell>
          <cell r="B219" t="str">
            <v>C201</v>
          </cell>
          <cell r="C219" t="str">
            <v>080</v>
          </cell>
          <cell r="D219" t="str">
            <v>C201080_1</v>
          </cell>
          <cell r="E219" t="str">
            <v>CYP201CareContact</v>
          </cell>
          <cell r="F219" t="str">
            <v>CONSULTATION MEDIUM USED</v>
          </cell>
          <cell r="G219">
            <v>0</v>
          </cell>
          <cell r="H219">
            <v>218</v>
          </cell>
          <cell r="I219" t="str">
            <v>Identifies the communication mechanism used to relay information between the CARE PROFESSIONAL and the PERSON who is the subject of the consultation, during a CARE ACTIVITY.
The telephone or telemedicine consultation should directly support diagnosis and care planning and must replace a face to face Out-Patient Attendance Consultant, Clinic Attendance Nurse or Clinic Attendance Midwife, types of CARE ACTIVITY. A record of the telephone or telemedicine consultation must be retained in the PATIENT's records.
Telephone contacts solely for informing PATIENTS of results are excluded.</v>
          </cell>
          <cell r="J219" t="str">
            <v>an2</v>
          </cell>
          <cell r="K219" t="str">
            <v>N/A</v>
          </cell>
          <cell r="L219" t="str">
            <v>Reject</v>
          </cell>
          <cell r="M219" t="str">
            <v>Warning</v>
          </cell>
          <cell r="O219" t="str">
            <v>All to analyse of the data item</v>
          </cell>
          <cell r="P219" t="str">
            <v>Required for Reporting on Quality and Performance</v>
          </cell>
          <cell r="Q219" t="str">
            <v>R</v>
          </cell>
          <cell r="R219">
            <v>2</v>
          </cell>
          <cell r="S219" t="str">
            <v>CYP20119 - Record rejected - Consultation Medium Used has incorrect data format. Care Contact Identifier=&lt;C201903&gt; Service Request Identifier=&lt;C201902&gt; Local Patient Identifier (Extended)=&lt;C101901&gt;
CYP20120 - Warning - Consultation Medium Used contains an invalid Consultation Medium Used. Care Contact Identifier=&lt;C201903&gt; Service Request Identifier=&lt;C201902&gt; Local Patient Identifier (Extended)=&lt;C101901&gt; Consultation Medium Used=&lt;C201080&gt;</v>
          </cell>
        </row>
        <row r="220">
          <cell r="A220" t="str">
            <v>C201909</v>
          </cell>
          <cell r="B220" t="str">
            <v>C201</v>
          </cell>
          <cell r="C220" t="str">
            <v>909</v>
          </cell>
          <cell r="D220" t="str">
            <v>909_1</v>
          </cell>
          <cell r="E220" t="str">
            <v>CYP201CareContact</v>
          </cell>
          <cell r="F220" t="str">
            <v>ACTIVITY LOCATION TYPE CODE</v>
          </cell>
          <cell r="G220">
            <v>0</v>
          </cell>
          <cell r="H220">
            <v>219</v>
          </cell>
          <cell r="I220" t="str">
            <v>The type of physical LOCATION where PATIENTS are seen or where SERVICES are provided or from which requests for services are sent.</v>
          </cell>
          <cell r="J220" t="str">
            <v>an3</v>
          </cell>
          <cell r="K220" t="str">
            <v>N/A</v>
          </cell>
          <cell r="L220" t="str">
            <v>Reject</v>
          </cell>
          <cell r="M220" t="str">
            <v>Warning</v>
          </cell>
          <cell r="O220" t="str">
            <v>All to analyse of the data item</v>
          </cell>
          <cell r="P220" t="str">
            <v>Required for reporting on Care Activities, Performance and Pricing</v>
          </cell>
          <cell r="Q220" t="str">
            <v>R</v>
          </cell>
          <cell r="R220">
            <v>2</v>
          </cell>
          <cell r="S220" t="str">
            <v>CYP20121 - Record rejected - Activity Location Type Code has incorrect data format. Care Contact Identifier=&lt;C201903&gt; Service Request Identifier=&lt;C201902&gt; Local Patient Identifier (Extended)=&lt;C101901&gt;
CYP20122 - Warning - CYP201CareContact contains an invalid Activity Location Type Code. Care Contact Identifier=&lt;C201903&gt; Service Request Identifier=&lt;C201902&gt; Local Patient Identifier (Extended)=&lt;C101901&gt; Activity Location Type Code=&lt;C201909&gt;</v>
          </cell>
        </row>
        <row r="221">
          <cell r="A221" t="str">
            <v>C201906</v>
          </cell>
          <cell r="B221" t="str">
            <v>C201</v>
          </cell>
          <cell r="C221" t="str">
            <v>906</v>
          </cell>
          <cell r="D221" t="str">
            <v>906_1</v>
          </cell>
          <cell r="E221" t="str">
            <v>CYP201CareContact</v>
          </cell>
          <cell r="F221" t="str">
            <v>SITE CODE (OF TREATMENT)</v>
          </cell>
          <cell r="G221">
            <v>0</v>
          </cell>
          <cell r="H221">
            <v>220</v>
          </cell>
          <cell r="I221" t="str">
            <v>SITE CODE (OF TREATMENT) is the ORGANISATION SITE CODE for the ORGANISATION SITE where the PATIENT was treated. 
This identifies the site within the ORGANISATION on which the PATIENT was treated, since facilities may vary on different hospital sites. The code recorded should always be the national code; if the treatment is sub-commissioned to another provider, the site code used should be that of the provider actually carrying out the work.
If the Site Code is not available and only the Organisation Code is available then this field should contain the Organisation Code suffixed with '00' as the site code.</v>
          </cell>
          <cell r="J221" t="str">
            <v>min an5 max an9</v>
          </cell>
          <cell r="K221" t="str">
            <v>N/A</v>
          </cell>
          <cell r="L221" t="str">
            <v>Reject</v>
          </cell>
          <cell r="M221" t="str">
            <v>Warning</v>
          </cell>
          <cell r="O221" t="str">
            <v>All to analyse of the data item</v>
          </cell>
          <cell r="P221" t="str">
            <v>Required for reporting on Care Activities, Performance and Pricing</v>
          </cell>
          <cell r="Q221" t="str">
            <v>R</v>
          </cell>
          <cell r="R221">
            <v>2</v>
          </cell>
          <cell r="S221" t="str">
            <v>CYP20123 - Record rejected - Site Code (Of Treatment) has incorrect data format. Care Contact Identifier=&lt;C201903&gt; Service Request Identifier=&lt;C201902&gt; Local Patient Identifier (Extended)=&lt;C101901&gt;
CYP20124 - Warning - Site Code (Of Treatment) is not for a current live organisation in national tables. Care Contact Identifier=&lt;C201903&gt; Service Request Identifier=&lt;C201902&gt; Local Patient Identifier (Extended)=&lt;C101901&gt;</v>
          </cell>
        </row>
        <row r="222">
          <cell r="A222" t="str">
            <v>C201090</v>
          </cell>
          <cell r="B222" t="str">
            <v>C201</v>
          </cell>
          <cell r="C222" t="str">
            <v>090</v>
          </cell>
          <cell r="D222" t="str">
            <v>C201090_1</v>
          </cell>
          <cell r="E222" t="str">
            <v>CYP201CareContact</v>
          </cell>
          <cell r="F222" t="str">
            <v>GROUP THERAPY INDICATOR</v>
          </cell>
          <cell r="G222">
            <v>0</v>
          </cell>
          <cell r="H222">
            <v>221</v>
          </cell>
          <cell r="I222" t="str">
            <v>An indicator of whether a Care Activity was delivered as Group Therapy.
Group Therapy is a SESSION where more than one PATIENT attends at the same time, to see one or more CARE PROFESSIONALS. Clinical notes are recorded in each individual PATIENT's casenotes.</v>
          </cell>
          <cell r="J222" t="str">
            <v>an1</v>
          </cell>
          <cell r="K222" t="str">
            <v>N/A</v>
          </cell>
          <cell r="L222" t="str">
            <v>Reject</v>
          </cell>
          <cell r="M222" t="str">
            <v>Warning</v>
          </cell>
          <cell r="O222" t="str">
            <v>All to analyse of the data item</v>
          </cell>
          <cell r="P222" t="str">
            <v>Required to identify whether activities undertaken for the patient are on a one-to-one basis or delivered as group therapy to multiple patients at the same time.</v>
          </cell>
          <cell r="Q222" t="str">
            <v>R</v>
          </cell>
          <cell r="R222">
            <v>2</v>
          </cell>
          <cell r="S222" t="str">
            <v>CYP20140 - Record rejected - Group Therapy Indicator has incorrect data format. Care Contact Identifier=&lt;C201903&gt; Service Request Identifier=&lt;C201902&gt; Local Patient Identifier (Extended)=&lt;C101901&gt;
CYP20141 - Warning - Group Therapy Indicator contains an invalid Group Therapy Indicator. Care Contact Identifier=&lt;C201903&gt; Service Request Identifier=&lt;C201902&gt; Local Patient Identifier (Extended)=&lt;C101901&gt; Group Therapy Indicator=&lt;C201090&gt;</v>
          </cell>
        </row>
        <row r="223">
          <cell r="A223" t="str">
            <v>C201100</v>
          </cell>
          <cell r="B223" t="str">
            <v>C201</v>
          </cell>
          <cell r="C223" t="str">
            <v>100</v>
          </cell>
          <cell r="D223" t="str">
            <v>C201100_1</v>
          </cell>
          <cell r="E223" t="str">
            <v>CYP201CareContact</v>
          </cell>
          <cell r="F223" t="str">
            <v>ATTENDED OR DID NOT ATTEND CODE</v>
          </cell>
          <cell r="G223">
            <v>0</v>
          </cell>
          <cell r="H223">
            <v>222</v>
          </cell>
          <cell r="I223" t="str">
            <v xml:space="preserve">Indicates whether an APPOINTMENT for a CARE CONTACT took place and if the APPOINTMENT did not take place it whether advanced warning was given.
</v>
          </cell>
          <cell r="J223" t="str">
            <v>an1</v>
          </cell>
          <cell r="K223" t="str">
            <v>N/A</v>
          </cell>
          <cell r="L223" t="str">
            <v>Reject</v>
          </cell>
          <cell r="M223" t="str">
            <v>Warning</v>
          </cell>
          <cell r="O223" t="str">
            <v>All to analyse of the data item</v>
          </cell>
          <cell r="P223" t="str">
            <v>Required for reporting on number of scheduled activities that did not take place.
For reporting on cancellations for clinical and non clinical reasons.
For reporting on cancellations by Provider and by Patient.</v>
          </cell>
          <cell r="Q223" t="str">
            <v>R</v>
          </cell>
          <cell r="R223">
            <v>2</v>
          </cell>
          <cell r="S223" t="str">
            <v>CYP20125 - Record rejected - Attended Or Did Not Attend Code has incorrect data format. Care Contact Identifier=&lt;C201903&gt; Service Request Identifier=&lt;C201902&gt; Local Patient Identifier (Extended)=&lt;C101901&gt;
CYP20126 - Warning - Attended Or Did Not Attend Code contains an invalid Attended Or Did Not Attend Code. Care Contact Identifier=&lt;C201903&gt; Service Request Identifier=&lt;C201902&gt; Local Patient Identifier (Extended)=&lt;C101901&gt; Attended Or Did Not Attend Code=&lt;C201100&gt;</v>
          </cell>
        </row>
        <row r="224">
          <cell r="A224" t="str">
            <v>C201110</v>
          </cell>
          <cell r="B224" t="str">
            <v>C201</v>
          </cell>
          <cell r="C224" t="str">
            <v>110</v>
          </cell>
          <cell r="D224" t="str">
            <v>C201110_1</v>
          </cell>
          <cell r="E224" t="str">
            <v>CYP201CareContact</v>
          </cell>
          <cell r="F224" t="str">
            <v>EARLIEST REASONABLE OFFER DATE</v>
          </cell>
          <cell r="G224">
            <v>0</v>
          </cell>
          <cell r="H224">
            <v>223</v>
          </cell>
          <cell r="I224" t="str">
            <v>It is the date of the earliest of the Reasonable Offers made to a PATIENT for an APPOINTMENT or Elective Admission. It should only be included on the Commissioning Data Sets where the PATIENT has declined at least two Reasonable Offers, and a Patient Pause is to be applied to the length of wait calculation performed by the Secondary Uses Service.
Patient Cancellations
Where, for any reason, a PATIENT cancels or does not attend an APPOINTMENT or an OFFER OF ADMISSION the EARLIEST REASONABLE OFFER DATE for the rearranged APPOINTMENT or OFFER OF ADMISSION will be the EARLIEST REASONABLE OFFER DATE of the cancelled APPOINTMENT or OFFER OF ADMISSION.
Provider Cancellations
Where, for any reason, any Health Care Provider cancels and re-arranges an APPOINTMENT or an OFFER OF ADMISSION, the EARLIEST REASONABLE OFFER DATE for the re-arranged APPOINTMENT or OFFER OF ADMISSION will be the date of the earliest Reasonable Offer made following the cancellation.
Patients who are unavailable
Where a PATIENT makes themself unavailable for a longer period of time, for example a PATIENT who is a teacher who wishes to delay their admission until the summer holidays, making a Reasonable Offer may be inappropriate.
In these circumstances, so long as the Health Care Provider could have made at least two Reasonable Offers, the EARLIEST REASONABLE OFFER DATE will be the date of the earliest Reasonable Offer that the provider could have offered the PATIENT. This must be communicated to the PATIENT.</v>
          </cell>
          <cell r="J224" t="str">
            <v>an10
ccyy-mm-dd</v>
          </cell>
          <cell r="K224" t="str">
            <v>N/A</v>
          </cell>
          <cell r="L224" t="str">
            <v>Reject</v>
          </cell>
          <cell r="M224" t="str">
            <v>N/A</v>
          </cell>
          <cell r="N224" t="str">
            <v>If Earliest Reasonable Offer Date is populated and is after the end of the reporting period, the record will be rejected.</v>
          </cell>
          <cell r="O224" t="str">
            <v>All to analyse between the data item and other events</v>
          </cell>
          <cell r="P224" t="str">
            <v>Required for measuring Quality &amp; Performance - RTT</v>
          </cell>
          <cell r="Q224" t="str">
            <v>R</v>
          </cell>
          <cell r="R224">
            <v>2</v>
          </cell>
          <cell r="S224" t="str">
            <v xml:space="preserve">CYP20129 - Record rejected - Earliest Reasonable Offer Date has incorrect date format. Care Contact Identifier=&lt;C201903&gt; Service Request Identifier=&lt;C201902&gt; Local Patient Identifier (Extended)=&lt;C101901&gt;
CYP20128 - Record rejected - Earliest Reasonable Offer Date is after the end of the reporting period. Care Contact Identifier=&lt;C201903&gt; Service Request Identifier=&lt;C201902&gt; Local Patient Identifier (Extended)=&lt;C101901&gt; Earliest Reasonable Offer Date=&lt;C201110&gt; </v>
          </cell>
        </row>
        <row r="225">
          <cell r="A225" t="str">
            <v>C201120</v>
          </cell>
          <cell r="B225" t="str">
            <v>C201</v>
          </cell>
          <cell r="C225" t="str">
            <v>120</v>
          </cell>
          <cell r="D225" t="str">
            <v>C201120_1</v>
          </cell>
          <cell r="E225" t="str">
            <v>CYP201CareContact</v>
          </cell>
          <cell r="F225" t="str">
            <v>EARLIEST CLINICALLY APPROPRIATE DATE</v>
          </cell>
          <cell r="G225">
            <v>0</v>
          </cell>
          <cell r="H225">
            <v>224</v>
          </cell>
          <cell r="I225" t="str">
            <v>The earliest DATE that it was clinically appropriate for an ACTIVITY to take place.</v>
          </cell>
          <cell r="J225" t="str">
            <v>an10
ccyy-mm-dd</v>
          </cell>
          <cell r="K225" t="str">
            <v>N/A</v>
          </cell>
          <cell r="L225" t="str">
            <v>Reject</v>
          </cell>
          <cell r="M225" t="str">
            <v>N/A</v>
          </cell>
          <cell r="N225" t="str">
            <v>If EarliestClinicallyAppropriateDateis populated and not within the reporting period, the record will be rejected.</v>
          </cell>
          <cell r="O225" t="str">
            <v>All to analyse between the data item and other events</v>
          </cell>
          <cell r="P225" t="str">
            <v>For RTT</v>
          </cell>
          <cell r="Q225" t="str">
            <v>R</v>
          </cell>
          <cell r="R225">
            <v>2</v>
          </cell>
          <cell r="S225" t="str">
            <v xml:space="preserve">CYP20130 - Record rejected - Earliest Clinically Appropriate Date has incorrect date format. Care Contact Identifier=&lt;C201903&gt; Service Request Identifier=&lt;C201902&gt; Local Patient Identifier (Extended)=&lt;C101901&gt;
CYP20136 - Record rejected - Earliest Clinically Appropriate Date is outside of the reporting period. Care Contact Identifier=&lt;C201903&gt; Service Request Identifier=&lt;C201902&gt; Local Patient Identifier (Extended)=&lt;C101901&gt; Earliest Clinically Appropriate Date=&lt;C201120&gt; </v>
          </cell>
        </row>
        <row r="226">
          <cell r="A226" t="str">
            <v>C201130</v>
          </cell>
          <cell r="B226" t="str">
            <v>C201</v>
          </cell>
          <cell r="C226" t="str">
            <v>130</v>
          </cell>
          <cell r="D226" t="str">
            <v>C201130_1</v>
          </cell>
          <cell r="E226" t="str">
            <v>CYP201CareContact</v>
          </cell>
          <cell r="F226" t="str">
            <v>CARE CONTACT CANCELLATION DATE</v>
          </cell>
          <cell r="G226">
            <v>0</v>
          </cell>
          <cell r="H226">
            <v>225</v>
          </cell>
          <cell r="I226" t="str">
            <v>The date that a Care Contact was cancelled by the Provider or Patient.</v>
          </cell>
          <cell r="J226" t="str">
            <v>an10
ccyy-mm-dd</v>
          </cell>
          <cell r="K226" t="str">
            <v>N/A</v>
          </cell>
          <cell r="L226" t="str">
            <v>Reject</v>
          </cell>
          <cell r="M226" t="str">
            <v>N/A</v>
          </cell>
          <cell r="N226" t="str">
            <v>If Care Contact Cancellation Date is populated and after the end of the reporting period, the record will be rejected.</v>
          </cell>
          <cell r="O226" t="str">
            <v>All to analyse between the data item and other events</v>
          </cell>
          <cell r="P226" t="str">
            <v>Required for reporting on number of scheduled activities that did not take place.</v>
          </cell>
          <cell r="Q226" t="str">
            <v>R</v>
          </cell>
          <cell r="R226">
            <v>2</v>
          </cell>
          <cell r="S226" t="str">
            <v xml:space="preserve">CYP20131 - Record rejected - Care Contact Cancellation Date has incorrect date format. Care Contact Identifier=&lt;C201903&gt; Service Request Identifier=&lt;C201902&gt; Local Patient Identifier (Extended)=&lt;C101901&gt;
CYP20137 - Record rejected - Care Contact Cancellation Date is outside of the reporting period. Care Contact Identifier=&lt;C201903&gt; Service Request Identifier=&lt;C201902&gt; Local Patient Identifier (Extended)=&lt;C101901&gt; Care Contact Cancellation Date=&lt;C201130&gt; </v>
          </cell>
        </row>
        <row r="227">
          <cell r="A227" t="str">
            <v>C201140</v>
          </cell>
          <cell r="B227" t="str">
            <v>C201</v>
          </cell>
          <cell r="C227" t="str">
            <v>140</v>
          </cell>
          <cell r="D227" t="str">
            <v>C201140_1</v>
          </cell>
          <cell r="E227" t="str">
            <v>CYP201CareContact</v>
          </cell>
          <cell r="F227" t="str">
            <v>CARE CONTACT CANCELLATION REASON</v>
          </cell>
          <cell r="G227">
            <v>0</v>
          </cell>
          <cell r="H227">
            <v>226</v>
          </cell>
          <cell r="I227" t="str">
            <v>The reason that a Care Contact was cancelled.</v>
          </cell>
          <cell r="J227" t="str">
            <v>an2</v>
          </cell>
          <cell r="K227" t="str">
            <v>N/A</v>
          </cell>
          <cell r="L227" t="str">
            <v>Reject</v>
          </cell>
          <cell r="M227" t="str">
            <v>Warning</v>
          </cell>
          <cell r="N227" t="str">
            <v>If Care Contact Cancellation Date is populated and Care Contact Cancellation Reason is blank, a warning will be generated.</v>
          </cell>
          <cell r="O227" t="str">
            <v>All to analyse between the data item and other events</v>
          </cell>
          <cell r="P227" t="str">
            <v>To monitor reasons for rescheduled appointments and for RTT</v>
          </cell>
          <cell r="Q227" t="str">
            <v>R</v>
          </cell>
          <cell r="R227">
            <v>3</v>
          </cell>
          <cell r="S227" t="str">
            <v>CYP20132 - Record rejected - Care Contact Cancellation Reason has incorrect data format. Care Contact Identifier=&lt;C201903&gt; Service Request Identifier=&lt;C201902&gt; Local Patient Identifier (Extended)=&lt;C101901&gt;
CYP20133 - Warning - Care Contact contains an invalid Care Contact Cancellation Reason. Care Contact Identifier=&lt;C201903&gt; Service Request Identifier=&lt;C201902&gt; Local Patient Identifier (Extended)=&lt;C101901&gt; Care Contact Cancellation Reason=&lt;C201140&gt;
CYP20143 - Warning - Care Contact Cancellation Date is populated but Care Contact Cancellation Reason is blank. Care Contact Identifier=&lt;C201903&gt; Service Request Identifier=&lt;C201902&gt; Local Patient Identifier (Extended)=&lt;C101901&gt;</v>
          </cell>
        </row>
        <row r="228">
          <cell r="A228" t="str">
            <v>C201160</v>
          </cell>
          <cell r="B228" t="str">
            <v>C201</v>
          </cell>
          <cell r="C228" t="str">
            <v>160</v>
          </cell>
          <cell r="D228" t="str">
            <v>C201160_1</v>
          </cell>
          <cell r="E228" t="str">
            <v>CYP201CareContact</v>
          </cell>
          <cell r="F228" t="str">
            <v>REPLACEMENT APPOINTMENT BOOKED DATE</v>
          </cell>
          <cell r="G228">
            <v>0</v>
          </cell>
          <cell r="H228">
            <v>227</v>
          </cell>
          <cell r="I228" t="str">
            <v>The date that a replacement appointment was booked following the cancellation of an appointment with the patient by the SERVICE.</v>
          </cell>
          <cell r="J228" t="str">
            <v>an10
ccyy-mm-dd</v>
          </cell>
          <cell r="K228" t="str">
            <v>N/A</v>
          </cell>
          <cell r="L228" t="str">
            <v>Reject</v>
          </cell>
          <cell r="M228" t="str">
            <v>N/A</v>
          </cell>
          <cell r="N228" t="str">
            <v>If RepApptDateBooked is populated and not within the reporting period, the record will be rejected.</v>
          </cell>
          <cell r="O228" t="str">
            <v>All to analyse between the data item and other events</v>
          </cell>
          <cell r="P228" t="str">
            <v>This is required to calculate whether a new appointment was offered within 5 working days of the cancellation of an appointment for non clinical reasons</v>
          </cell>
          <cell r="Q228" t="str">
            <v>R</v>
          </cell>
          <cell r="R228">
            <v>2</v>
          </cell>
          <cell r="S228" t="str">
            <v xml:space="preserve">CYP20134 - Record rejected - Replacement Appointment Booked Date has incorrect date format. Care Contact Identifier=&lt;C201903&gt; Service Request Identifier=&lt;C201902&gt; Local Patient Identifier (Extended)=&lt;C101901&gt;
CYP20138 - Record rejected - Replacement Appointment Booked Date is outside of the reporting period. Care Contact Identifier=&lt;C201903&gt; Service Request Identifier=&lt;C201902&gt; Local Patient Identifier (Extended)=&lt;C101901&gt; Replacement Appointment Booked Date=&lt;C201160&gt; </v>
          </cell>
        </row>
        <row r="229">
          <cell r="A229" t="str">
            <v>C201150</v>
          </cell>
          <cell r="B229" t="str">
            <v>C201</v>
          </cell>
          <cell r="C229" t="str">
            <v>150</v>
          </cell>
          <cell r="D229" t="str">
            <v>C201150_1</v>
          </cell>
          <cell r="E229" t="str">
            <v>CYP201CareContact</v>
          </cell>
          <cell r="F229" t="str">
            <v>REPLACEMENT APPOINTMENT DATE OFFERED</v>
          </cell>
          <cell r="G229">
            <v>0</v>
          </cell>
          <cell r="H229">
            <v>228</v>
          </cell>
          <cell r="I229" t="str">
            <v>The replacement appointment date offered by the provider to the patient following the cancellation of an appointment by the SERVICE.</v>
          </cell>
          <cell r="J229" t="str">
            <v>an10
ccyy-mm-dd</v>
          </cell>
          <cell r="K229" t="str">
            <v>N/A</v>
          </cell>
          <cell r="L229" t="str">
            <v>Reject</v>
          </cell>
          <cell r="M229" t="str">
            <v>N/A</v>
          </cell>
          <cell r="N229" t="str">
            <v>If RepApptDateOffered is before the start date of the reporting period, the record will be rejected.</v>
          </cell>
          <cell r="O229" t="str">
            <v>All to analyse between the data item and other events</v>
          </cell>
          <cell r="P229" t="str">
            <v>This is required to calculate whether a new appointment was offered for a date within 28 calendar days of the cancellation of an appointment for non clinical reasons</v>
          </cell>
          <cell r="Q229" t="str">
            <v>R</v>
          </cell>
          <cell r="R229">
            <v>2</v>
          </cell>
          <cell r="S229" t="str">
            <v>CYP20135 - Record rejected - Replacement Appointment Date Offered has incorrect date format. Care Contact Identifier=&lt;C201903&gt; Service Request Identifier=&lt;C201902&gt; Local Patient Identifier (Extended)=&lt;C101901&gt;
CYP20139 - Record rejected - Replacement Appointment Date Offered is before the start date of the reporting period. Care Contact Identifier=&lt;C201903&gt; Service Request Identifier=&lt;C201902&gt; Local Patient Identifier (Extended)=&lt;C101901&gt; Replacement Appointment Booked Date=&lt;C201160&gt;</v>
          </cell>
        </row>
        <row r="230">
          <cell r="A230" t="str">
            <v>C201D01</v>
          </cell>
          <cell r="E230" t="str">
            <v>CYP201CareContact</v>
          </cell>
          <cell r="F230" t="str">
            <v>RECORD NUMBER</v>
          </cell>
          <cell r="G230">
            <v>1</v>
          </cell>
          <cell r="H230">
            <v>229</v>
          </cell>
          <cell r="I230" t="str">
            <v>Record number in this extract file.</v>
          </cell>
          <cell r="J230" t="str">
            <v>max n6</v>
          </cell>
        </row>
        <row r="231">
          <cell r="A231" t="str">
            <v>C201D02</v>
          </cell>
          <cell r="E231" t="str">
            <v>CYP201CareContact</v>
          </cell>
          <cell r="F231" t="str">
            <v>CYP201 UNIQUE ID</v>
          </cell>
          <cell r="G231">
            <v>1</v>
          </cell>
          <cell r="H231">
            <v>230</v>
          </cell>
          <cell r="I231" t="str">
            <v>A unique ID per table.  This continues across reporting periods and across providers.  This uniquely identifies a row of data within a table.</v>
          </cell>
          <cell r="J231" t="str">
            <v>min n6 max n20</v>
          </cell>
        </row>
        <row r="232">
          <cell r="A232" t="str">
            <v>C201D03</v>
          </cell>
          <cell r="E232" t="str">
            <v>CYP201CareContact</v>
          </cell>
          <cell r="F232" t="str">
            <v>ORGANISATION CODE (PROVIDER)</v>
          </cell>
          <cell r="G232">
            <v>1</v>
          </cell>
          <cell r="H232">
            <v>231</v>
          </cell>
          <cell r="I232" t="str">
            <v>Organisation code of provider submitting the data.</v>
          </cell>
          <cell r="J232" t="str">
            <v>max an6</v>
          </cell>
        </row>
        <row r="233">
          <cell r="A233" t="str">
            <v>C201D04</v>
          </cell>
          <cell r="E233" t="str">
            <v>CYP201CareContact</v>
          </cell>
          <cell r="F233" t="str">
            <v>UNIQUE CYPHS ID (PATIENT)</v>
          </cell>
          <cell r="G233">
            <v>1</v>
          </cell>
          <cell r="H233">
            <v>232</v>
          </cell>
          <cell r="I233" t="str">
            <v>A nationally unique ID for the patient in the CYPHS Data Set generated from an index held by the BSP.</v>
          </cell>
          <cell r="J233" t="str">
            <v>max n10</v>
          </cell>
        </row>
        <row r="234">
          <cell r="A234" t="str">
            <v>C201D05</v>
          </cell>
          <cell r="E234" t="str">
            <v>CYP201CareContact</v>
          </cell>
          <cell r="F234" t="str">
            <v>BSP UNIQUE ID</v>
          </cell>
          <cell r="G234">
            <v>1</v>
          </cell>
          <cell r="H234">
            <v>233</v>
          </cell>
          <cell r="I234" t="str">
            <v xml:space="preserve">A unique ID applied when original data file was uploaded to the Bureau Service Portal. Where a single upload is used to provide data for different reporting periods, there will be a separate BSPUniqueID assigned to each reporting period.  </v>
          </cell>
          <cell r="J234" t="str">
            <v>max n6</v>
          </cell>
        </row>
        <row r="235">
          <cell r="A235" t="str">
            <v>C201D06</v>
          </cell>
          <cell r="E235" t="str">
            <v>CYP201CareContact</v>
          </cell>
          <cell r="F235" t="str">
            <v>UNIQUE SERVICE REQUEST IDENTIFIER</v>
          </cell>
          <cell r="G235">
            <v>1</v>
          </cell>
          <cell r="H235">
            <v>234</v>
          </cell>
          <cell r="I235" t="str">
            <v>To uniquely identify the referral</v>
          </cell>
          <cell r="J235" t="str">
            <v>max an26</v>
          </cell>
        </row>
        <row r="236">
          <cell r="A236" t="str">
            <v>C201D07</v>
          </cell>
          <cell r="E236" t="str">
            <v>CYP201CareContact</v>
          </cell>
          <cell r="F236" t="str">
            <v>UNIQUE CARE CONTACT IDENTIFIER</v>
          </cell>
          <cell r="G236">
            <v>1</v>
          </cell>
          <cell r="H236">
            <v>235</v>
          </cell>
          <cell r="I236" t="str">
            <v>To uniquely identify the contact</v>
          </cell>
          <cell r="J236" t="str">
            <v>max an26</v>
          </cell>
        </row>
        <row r="237">
          <cell r="A237" t="str">
            <v>C201D08</v>
          </cell>
          <cell r="E237" t="str">
            <v>CYP201CareContact</v>
          </cell>
          <cell r="F237" t="str">
            <v>LOCAL AREA TEAM (ORGANISATION CODE (CODE OF COMMISSIONER))</v>
          </cell>
          <cell r="G237">
            <v>1</v>
          </cell>
          <cell r="H237">
            <v>236</v>
          </cell>
          <cell r="I237" t="str">
            <v>Local Area Team (Organisation Code (Code of Commissioner))</v>
          </cell>
          <cell r="J237" t="str">
            <v>max an6</v>
          </cell>
        </row>
        <row r="238">
          <cell r="A238" t="str">
            <v>C201D09</v>
          </cell>
          <cell r="E238" t="str">
            <v>CYP201CareContact</v>
          </cell>
          <cell r="F238" t="str">
            <v>NHS ENGLAND REGION (ORGANISATION CODE (CODE OF COMMISSIONER))</v>
          </cell>
          <cell r="G238">
            <v>1</v>
          </cell>
          <cell r="H238">
            <v>237</v>
          </cell>
          <cell r="I238" t="str">
            <v>NHS England Region (Organisation Code (Code of Commissioner))</v>
          </cell>
          <cell r="J238" t="str">
            <v>max an6</v>
          </cell>
        </row>
        <row r="239">
          <cell r="A239" t="str">
            <v>C201D10</v>
          </cell>
          <cell r="E239" t="str">
            <v>CYP201CareContact</v>
          </cell>
          <cell r="F239" t="str">
            <v>AGE AT CARE CONTACT DATE</v>
          </cell>
          <cell r="G239">
            <v>1</v>
          </cell>
          <cell r="H239">
            <v>238</v>
          </cell>
          <cell r="I239" t="str">
            <v>Age at Care Contact Date.</v>
          </cell>
          <cell r="J239" t="str">
            <v>max n2</v>
          </cell>
        </row>
        <row r="240">
          <cell r="A240" t="str">
            <v>C201D11</v>
          </cell>
          <cell r="E240" t="str">
            <v>CYP201CareContact</v>
          </cell>
          <cell r="F240" t="str">
            <v>CONTACT LOCATION DISTANCE FROM HOME</v>
          </cell>
          <cell r="G240">
            <v>1</v>
          </cell>
          <cell r="H240">
            <v>239</v>
          </cell>
          <cell r="I240" t="str">
            <v>Distance from home to activity location</v>
          </cell>
          <cell r="J240" t="str">
            <v>max n4</v>
          </cell>
        </row>
        <row r="241">
          <cell r="A241" t="str">
            <v>C201D12</v>
          </cell>
          <cell r="E241" t="str">
            <v>CYP201CareContact</v>
          </cell>
          <cell r="F241" t="str">
            <v>TIME BETWEEN REFERRAL AND CARE CONTACT</v>
          </cell>
          <cell r="G241">
            <v>1</v>
          </cell>
          <cell r="H241">
            <v>240</v>
          </cell>
          <cell r="I241" t="str">
            <v>Time Between Referral and Care Contact</v>
          </cell>
          <cell r="J241" t="str">
            <v>max n4</v>
          </cell>
        </row>
        <row r="242">
          <cell r="A242" t="str">
            <v>C201D13</v>
          </cell>
          <cell r="E242" t="str">
            <v>CYP201CareContact</v>
          </cell>
          <cell r="F242" t="str">
            <v>UNIQUE CARE PROFESSIONAL TEAM LOCAL IDENTIFIER</v>
          </cell>
          <cell r="G242">
            <v>1</v>
          </cell>
          <cell r="H242">
            <v>241</v>
          </cell>
          <cell r="I242" t="str">
            <v>A unique identifier generated from the CARE PROFESSIONAL TEAM LOCAL IDENTIFIER and the ORGANISATION CODE (CODE OF PROVIDER) from CYP000.</v>
          </cell>
          <cell r="J242" t="str">
            <v>max an26</v>
          </cell>
        </row>
        <row r="243">
          <cell r="A243" t="str">
            <v>C202903</v>
          </cell>
          <cell r="B243" t="str">
            <v>C202</v>
          </cell>
          <cell r="C243" t="str">
            <v>903</v>
          </cell>
          <cell r="D243" t="str">
            <v>903_2</v>
          </cell>
          <cell r="E243" t="str">
            <v>CYP202CareActivity</v>
          </cell>
          <cell r="F243" t="str">
            <v>CARE CONTACT IDENTIFIER</v>
          </cell>
          <cell r="G243">
            <v>0</v>
          </cell>
          <cell r="H243">
            <v>242</v>
          </cell>
          <cell r="I243" t="str">
            <v>The CARE CONTACT IDENTIFIER is used to uniquely identify the CARE CONTACT within the Health Care Provider.
It would normally be automatically generated by the local system upon recording a new Care Contact, although could be manually assigned.</v>
          </cell>
          <cell r="J243" t="str">
            <v>max an20</v>
          </cell>
          <cell r="K243" t="str">
            <v>Reject</v>
          </cell>
          <cell r="L243" t="str">
            <v>Reject</v>
          </cell>
          <cell r="M243" t="str">
            <v>N/A</v>
          </cell>
          <cell r="O243" t="str">
            <v>Uniquely identify a care contact</v>
          </cell>
          <cell r="P243" t="str">
            <v>Required for reporting on Care Activities</v>
          </cell>
          <cell r="Q243" t="str">
            <v>M</v>
          </cell>
          <cell r="R243">
            <v>2</v>
          </cell>
          <cell r="S243" t="str">
            <v xml:space="preserve">CYP20204 - Record rejected - Care Contact Identifier is blank. Care Activity Identifier=&lt;C202904&gt;
CYP20205 - Record rejected - Care Contact Identifier has incorrect data format.  Care Activity Identifier=&lt;C202904&gt; Care Contact Identifier=&lt;C202903&gt; </v>
          </cell>
        </row>
        <row r="244">
          <cell r="A244" t="str">
            <v>C202904</v>
          </cell>
          <cell r="B244" t="str">
            <v>C202</v>
          </cell>
          <cell r="C244" t="str">
            <v>904</v>
          </cell>
          <cell r="D244" t="str">
            <v>904_1</v>
          </cell>
          <cell r="E244" t="str">
            <v>CYP202CareActivity</v>
          </cell>
          <cell r="F244" t="str">
            <v>CARE ACTIVITY IDENTIFIER</v>
          </cell>
          <cell r="G244">
            <v>0</v>
          </cell>
          <cell r="H244">
            <v>243</v>
          </cell>
          <cell r="I244" t="str">
            <v>The unique identifier for a CARE ACTIVITY. 
It would normally be automatically generated by the local system upon recording a new activity, although could be manually assigned.</v>
          </cell>
          <cell r="J244" t="str">
            <v>max an20</v>
          </cell>
          <cell r="K244" t="str">
            <v>Reject</v>
          </cell>
          <cell r="L244" t="str">
            <v>Reject</v>
          </cell>
          <cell r="M244" t="str">
            <v>N/A</v>
          </cell>
          <cell r="O244" t="str">
            <v>Uniquely identify a care activity</v>
          </cell>
          <cell r="P244" t="str">
            <v>Required for reporting on Care Activities</v>
          </cell>
          <cell r="Q244" t="str">
            <v>M</v>
          </cell>
          <cell r="R244">
            <v>2</v>
          </cell>
          <cell r="S244" t="str">
            <v xml:space="preserve">CYP20212 - Record rejected - Care Activity Identifier is blank. 
CYP20213 - Record rejected - Care Activity Identifier has incorrect data format. Care Activity Identifier=&lt;C202904&gt; Care Contact Identifier=&lt;C202903&gt; </v>
          </cell>
        </row>
        <row r="245">
          <cell r="A245" t="str">
            <v>C202010</v>
          </cell>
          <cell r="B245" t="str">
            <v>C202</v>
          </cell>
          <cell r="C245" t="str">
            <v>010</v>
          </cell>
          <cell r="D245" t="str">
            <v>C202010_1</v>
          </cell>
          <cell r="E245" t="str">
            <v>CYP202CareActivity</v>
          </cell>
          <cell r="F245" t="str">
            <v>COMMUNITY CARE ACTIVITY TYPE CODE</v>
          </cell>
          <cell r="G245">
            <v>0</v>
          </cell>
          <cell r="H245">
            <v>244</v>
          </cell>
          <cell r="I245" t="str">
            <v>The type of Care Activity performed during a Care Contact by a CARE PROFESSIONAL.</v>
          </cell>
          <cell r="J245" t="str">
            <v>an2</v>
          </cell>
          <cell r="K245" t="str">
            <v>Reject</v>
          </cell>
          <cell r="L245" t="str">
            <v>Reject</v>
          </cell>
          <cell r="M245" t="str">
            <v>Warning</v>
          </cell>
          <cell r="O245" t="str">
            <v>All to analyse of the data item</v>
          </cell>
          <cell r="P245" t="str">
            <v>Required for reporting on Care Activities</v>
          </cell>
          <cell r="Q245" t="str">
            <v>M</v>
          </cell>
          <cell r="R245">
            <v>3</v>
          </cell>
          <cell r="S245" t="str">
            <v>CYP20206 - Record rejected - Community Care Activity Type Code is blank. Care Activity Identifier=&lt;C202904&gt; Care Contact Identifier=&lt;C202903&gt; Service Request Identifier=&lt;C201902&gt; Local Patient Identifier (Extended)=&lt;C101901&gt; 
CYP20207 - Record rejected - Community Care Activity Type Code has incorrect data format. Care Activity Identifier=&lt;C202904&gt; Care Contact Identifier=&lt;C202903&gt; Service Request Identifier=&lt;C201902&gt; Local Patient Identifier (Extended)=&lt;C101901&gt; 
CYP20208 - Warning - Community Care Activity Type Code contains an invalid Community Care Activity Type Code. Care Activity Identifier=&lt;C202904&gt; Care Contact Identifier=&lt;C202903&gt; Service Request Identifier=&lt;C201902&gt; Local Patient Identifier (Extended)=&lt;C101901&gt;  Community Care Activity Type Code=&lt;C202010&gt;</v>
          </cell>
        </row>
        <row r="246">
          <cell r="A246" t="str">
            <v>C202020</v>
          </cell>
          <cell r="B246" t="str">
            <v>C202</v>
          </cell>
          <cell r="C246" t="str">
            <v>020</v>
          </cell>
          <cell r="D246" t="str">
            <v>C202020_1</v>
          </cell>
          <cell r="E246" t="str">
            <v>CYP202CareActivity</v>
          </cell>
          <cell r="F246" t="str">
            <v>CARE PROFESSIONAL LOCAL IDENTIFIER</v>
          </cell>
          <cell r="G246">
            <v>0</v>
          </cell>
          <cell r="H246">
            <v>245</v>
          </cell>
          <cell r="I246" t="str">
            <v xml:space="preserve">CARE PROFESSIONAL LOCAL IDENTIFIER is a unique local CARE PROFESSIONAL IDENTIFIER within a Health Care Provider and may be assigned automatically by the computer system.
 </v>
          </cell>
          <cell r="J246" t="str">
            <v>max an20</v>
          </cell>
          <cell r="K246" t="str">
            <v>N/A</v>
          </cell>
          <cell r="L246" t="str">
            <v>Reject</v>
          </cell>
          <cell r="M246" t="str">
            <v>N/A</v>
          </cell>
          <cell r="O246" t="str">
            <v>Uniquely identify a care professional</v>
          </cell>
          <cell r="P246" t="str">
            <v>Uniquely identify a care professional</v>
          </cell>
          <cell r="Q246" t="str">
            <v>R</v>
          </cell>
          <cell r="R246">
            <v>1</v>
          </cell>
          <cell r="S246" t="str">
            <v xml:space="preserve">CYP20214 - Record rejected - Care Professional Local Identifier has incorrect data format. Care Activity Identifier=&lt;C202904&gt; Care Contact Identifier=&lt;C202903&gt; Service Request Identifier=&lt;C201902&gt; Local Patient Identifier (Extended)=&lt;C101901&gt; </v>
          </cell>
        </row>
        <row r="247">
          <cell r="A247" t="str">
            <v>C202030</v>
          </cell>
          <cell r="B247" t="str">
            <v>C202</v>
          </cell>
          <cell r="C247" t="str">
            <v>030</v>
          </cell>
          <cell r="D247" t="str">
            <v>C202030_1</v>
          </cell>
          <cell r="E247" t="str">
            <v>CYP202CareActivity</v>
          </cell>
          <cell r="F247" t="str">
            <v>CLINICAL CONTACT DURATION OF CARE ACTIVITY</v>
          </cell>
          <cell r="G247">
            <v>0</v>
          </cell>
          <cell r="H247">
            <v>246</v>
          </cell>
          <cell r="I247" t="str">
            <v>The duration of a CARE ACTIVITY in minutes, excluding any administration time prior to or after the CARE ACTIVITY and the CARE PROFESSIONAL's travelling time to the LOCATION where the CARE ACTIVITY was provided.
This is calculated from the Start Time and End Time of the CARE ACTIVITY.</v>
          </cell>
          <cell r="J247" t="str">
            <v>max n4</v>
          </cell>
          <cell r="K247" t="str">
            <v>N/A</v>
          </cell>
          <cell r="L247" t="str">
            <v>Reject</v>
          </cell>
          <cell r="M247" t="str">
            <v>N/A</v>
          </cell>
          <cell r="O247" t="str">
            <v>All for analysis of the data item</v>
          </cell>
          <cell r="P247" t="str">
            <v>Required for reporting on Care Activities, Performance of Care Professionals</v>
          </cell>
          <cell r="Q247" t="str">
            <v>R</v>
          </cell>
          <cell r="R247">
            <v>1</v>
          </cell>
          <cell r="S247" t="str">
            <v xml:space="preserve">CYP20211 - Record rejected - Clinical Contact Duration Of Care Activity has incorrect data format. Care Activity Identifier=&lt;C202904&gt; Care Contact Identifier=&lt;C202903&gt; Service Request Identifier=&lt;C201902&gt; Local Patient Identifier (Extended)=&lt;C101901&gt; </v>
          </cell>
        </row>
        <row r="248">
          <cell r="A248" t="str">
            <v>C202040</v>
          </cell>
          <cell r="B248" t="str">
            <v>C202</v>
          </cell>
          <cell r="C248" t="str">
            <v>040</v>
          </cell>
          <cell r="D248" t="str">
            <v>C202040_1</v>
          </cell>
          <cell r="E248" t="str">
            <v>CYP202CareActivity</v>
          </cell>
          <cell r="F248" t="str">
            <v>PROCEDURE SCHEME IN USE</v>
          </cell>
          <cell r="G248">
            <v>0</v>
          </cell>
          <cell r="H248">
            <v>247</v>
          </cell>
          <cell r="I248" t="str">
            <v>The code scheme basis of a procedure.</v>
          </cell>
          <cell r="J248" t="str">
            <v>an2</v>
          </cell>
          <cell r="K248" t="str">
            <v>N/A</v>
          </cell>
          <cell r="L248" t="str">
            <v>Reject</v>
          </cell>
          <cell r="M248" t="str">
            <v>Warning</v>
          </cell>
          <cell r="N248" t="str">
            <v>If Coded Procedure (Clinical Terminology) is populated, Procedure Scheme In Use must contain a valid value or the record will be rejected.</v>
          </cell>
          <cell r="O248" t="str">
            <v>All for analysis of the data item</v>
          </cell>
          <cell r="P248" t="str">
            <v>Required for reporting on data quality differences between coding schemes</v>
          </cell>
          <cell r="Q248" t="str">
            <v>R</v>
          </cell>
          <cell r="R248">
            <v>3</v>
          </cell>
          <cell r="S248" t="str">
            <v>CYP20215 - Record rejected - Procedure Scheme In Use has incorrect data format. Care Activity Identifier=&lt;C202904&gt; Care Contact Identifier=&lt;C202903&gt; Service Request Identifier=&lt;C201902&gt; Local Patient Identifier (Extended)=&lt;C101901&gt; 
CYP20216 - Warning - Procedure Scheme In Use contains an invalid Procedure Scheme In Use. Care Activity Identifier=&lt;C202904&gt; Care Contact Identifier=&lt;C202903&gt; Service Request Identifier=&lt;C201902&gt; Local Patient Identifier (Extended)=&lt;C101901&gt; Procedure Scheme In Use=&lt;C202040&gt;
CYP20220 - Record rejected - Coded Procedure (Clinical Terminology) is populated, but no valid Procedure Scheme In Use has been provided. Care Activity Identifier=&lt;C202904&gt; Care Contact Identifier=&lt;C202903&gt; Service Request Identifier=&lt;C201902&gt; Local Patient Identifier (Extended)=&lt;C101901&gt; Procedure Scheme In Use=&lt;C202040&gt;</v>
          </cell>
        </row>
        <row r="249">
          <cell r="A249" t="str">
            <v>C202070</v>
          </cell>
          <cell r="B249" t="str">
            <v>C202</v>
          </cell>
          <cell r="C249" t="str">
            <v>070</v>
          </cell>
          <cell r="D249" t="str">
            <v>C202070_1</v>
          </cell>
          <cell r="E249" t="str">
            <v>CYP202CareActivity</v>
          </cell>
          <cell r="F249" t="str">
            <v>CODED FINDING (CODED CLINICAL ENTRY)</v>
          </cell>
          <cell r="G249">
            <v>0</v>
          </cell>
          <cell r="H249">
            <v>248</v>
          </cell>
          <cell r="I249" t="str">
            <v>A unique identifier for a finding from a specific classification or clinical terminology.</v>
          </cell>
          <cell r="J249" t="str">
            <v>min an4 max an18</v>
          </cell>
          <cell r="K249" t="str">
            <v>N/A</v>
          </cell>
          <cell r="L249" t="str">
            <v>Reject</v>
          </cell>
          <cell r="M249" t="str">
            <v>N/A</v>
          </cell>
          <cell r="N249" t="str">
            <v>If Finding Scheme In Use is populated and Coded Finding (Coded Clinical Entry) is blank, then a warning will be generated.</v>
          </cell>
          <cell r="O249" t="str">
            <v>All for analysis of the data item</v>
          </cell>
          <cell r="P249" t="str">
            <v>Required for anaylsis of the outcomes and activity between different activities or results</v>
          </cell>
          <cell r="Q249" t="str">
            <v>R</v>
          </cell>
          <cell r="R249">
            <v>2</v>
          </cell>
          <cell r="S249" t="str">
            <v xml:space="preserve">CYP20227 - Record rejected - Coded Finding (Coded Clinical Entry) has incorrect data format. Care Activity Identifier=&lt;C202904&gt; Care Contact Identifier=&lt;C202903&gt; Service Request Identifier=&lt;C201902&gt; Local Patient Identifier (Extended)=&lt;C101901&gt; 
CYP20228 - Warning - Finding Scheme In Use is populated, but Coded Finding (Coded Clinical Entry) is blank. Care Activity Identifier=&lt;C202904&gt; Care Contact Identifier=&lt;C202903&gt; Service Request Identifier=&lt;C201902&gt; Local Patient Identifier (Extended)=&lt;C101901&gt; </v>
          </cell>
        </row>
        <row r="250">
          <cell r="A250" t="str">
            <v>C202100</v>
          </cell>
          <cell r="B250" t="str">
            <v>C202</v>
          </cell>
          <cell r="C250" t="str">
            <v>100</v>
          </cell>
          <cell r="D250" t="str">
            <v>C202100_1</v>
          </cell>
          <cell r="E250" t="str">
            <v>CYP202CareActivity</v>
          </cell>
          <cell r="F250" t="str">
            <v>OBSERVATION VALUE</v>
          </cell>
          <cell r="G250">
            <v>0</v>
          </cell>
          <cell r="H250">
            <v>249</v>
          </cell>
          <cell r="I250" t="str">
            <v>The numeric value resulting from a clinical OBSERVATION.</v>
          </cell>
          <cell r="J250" t="str">
            <v>max an10</v>
          </cell>
          <cell r="K250" t="str">
            <v>N/A</v>
          </cell>
          <cell r="L250" t="str">
            <v>Reject</v>
          </cell>
          <cell r="M250" t="str">
            <v>N/A</v>
          </cell>
          <cell r="O250" t="str">
            <v>All for analysis of the data item</v>
          </cell>
          <cell r="P250" t="str">
            <v>Used to compare outcomes between different comparable measurements</v>
          </cell>
          <cell r="Q250" t="str">
            <v>R</v>
          </cell>
          <cell r="R250">
            <v>1</v>
          </cell>
          <cell r="S250" t="str">
            <v xml:space="preserve">CYP20221 - Record rejected - Observation Value has incorrect data format. Care Activity Identifier=&lt;C202904&gt; Care Contact Identifier=&lt;C202903&gt; Service Request Identifier=&lt;C201902&gt; Local Patient Identifier (Extended)=&lt;C101901&gt; </v>
          </cell>
        </row>
        <row r="251">
          <cell r="A251" t="str">
            <v>C202110</v>
          </cell>
          <cell r="B251" t="str">
            <v>C202</v>
          </cell>
          <cell r="C251" t="str">
            <v>110</v>
          </cell>
          <cell r="D251" t="str">
            <v>C202110_1</v>
          </cell>
          <cell r="E251" t="str">
            <v>CYP202CareActivity</v>
          </cell>
          <cell r="F251" t="str">
            <v>UCUM UNIT OF MEASUREMENT</v>
          </cell>
          <cell r="G251">
            <v>0</v>
          </cell>
          <cell r="H251">
            <v>250</v>
          </cell>
          <cell r="I251" t="str">
            <v>The unit of measurement used to measure the result of a clinical OBSERVATION. See http://unitsofmeasure.org/trac/.</v>
          </cell>
          <cell r="J251" t="str">
            <v>max an10</v>
          </cell>
          <cell r="K251" t="str">
            <v>N/A</v>
          </cell>
          <cell r="L251" t="str">
            <v>Reject</v>
          </cell>
          <cell r="M251" t="str">
            <v>N/A</v>
          </cell>
          <cell r="O251" t="str">
            <v>All for analysis of the data item</v>
          </cell>
          <cell r="P251" t="str">
            <v>Used to compare outcomes between different comparable measurements</v>
          </cell>
          <cell r="Q251" t="str">
            <v>R</v>
          </cell>
          <cell r="R251">
            <v>1</v>
          </cell>
          <cell r="S251" t="str">
            <v xml:space="preserve">CYP20222 - Record rejected - UCUM Unit Of Measurement has incorrect data format. Care Activity Identifier=&lt;C202904&gt; Care Contact Identifier=&lt;C202903&gt; Service Request Identifier=&lt;C201902&gt; Local Patient Identifier (Extended)=&lt;C101901&gt; </v>
          </cell>
        </row>
        <row r="252">
          <cell r="A252" t="str">
            <v>C202090</v>
          </cell>
          <cell r="B252" t="str">
            <v>C202</v>
          </cell>
          <cell r="C252" t="str">
            <v>090</v>
          </cell>
          <cell r="D252" t="str">
            <v>C202090_1</v>
          </cell>
          <cell r="E252" t="str">
            <v>CYP202CareActivity</v>
          </cell>
          <cell r="F252" t="str">
            <v>CODED OBSERVATION (CLINICAL TERMINOLOGY)</v>
          </cell>
          <cell r="G252">
            <v>0</v>
          </cell>
          <cell r="H252">
            <v>251</v>
          </cell>
          <cell r="I252" t="str">
            <v>A unique identifier for an observation from a specific clinical terminology.</v>
          </cell>
          <cell r="J252" t="str">
            <v>min an5 max an18</v>
          </cell>
          <cell r="K252" t="str">
            <v>N/A</v>
          </cell>
          <cell r="L252" t="str">
            <v>Reject</v>
          </cell>
          <cell r="M252" t="str">
            <v>N/A</v>
          </cell>
          <cell r="N252" t="str">
            <v>If Observation Scheme In Use is populated and Coded Observation (Clinical Terminology) is blank, then a warning will be generated.</v>
          </cell>
          <cell r="O252" t="str">
            <v>All for analysis of the data item</v>
          </cell>
          <cell r="P252" t="str">
            <v>Required for anaylsis of the outcomes and activity between different activities or results</v>
          </cell>
          <cell r="Q252" t="str">
            <v>R</v>
          </cell>
          <cell r="R252">
            <v>2</v>
          </cell>
          <cell r="S252" t="str">
            <v xml:space="preserve">CYP20232 - Record rejected - Coded Observation (Clinical Terminology) has incorrect data format. Care Activity Identifier=&lt;C202904&gt; Care Contact Identifier=&lt;C202903&gt; Service Request Identifier=&lt;C201902&gt; Local Patient Identifier (Extended)=&lt;C101901&gt; 
CYP20233 - Warning - Observation Scheme In Use is populated, but Coded Observation (Clinical Terminology) is blank. Care Activity Identifier=&lt;C202904&gt; Care Contact Identifier=&lt;C202903&gt; Service Request Identifier=&lt;C201902&gt; Local Patient Identifier (Extended)=&lt;C101901&gt; </v>
          </cell>
        </row>
        <row r="253">
          <cell r="A253" t="str">
            <v>C202050</v>
          </cell>
          <cell r="B253" t="str">
            <v>C202</v>
          </cell>
          <cell r="C253" t="str">
            <v>050</v>
          </cell>
          <cell r="D253" t="str">
            <v>C202050_1</v>
          </cell>
          <cell r="E253" t="str">
            <v>CYP202CareActivity</v>
          </cell>
          <cell r="F253" t="str">
            <v>CODED PROCEDURE (CLINICAL TERMINOLOGY)</v>
          </cell>
          <cell r="G253">
            <v>0</v>
          </cell>
          <cell r="H253">
            <v>252</v>
          </cell>
          <cell r="I253" t="str">
            <v>A unique identifier for a procedure from a specific clinical terminology.</v>
          </cell>
          <cell r="J253" t="str">
            <v>min an5 max an18</v>
          </cell>
          <cell r="K253" t="str">
            <v>N/A</v>
          </cell>
          <cell r="L253" t="str">
            <v>Reject</v>
          </cell>
          <cell r="M253" t="str">
            <v>N/A</v>
          </cell>
          <cell r="N253" t="str">
            <v>If Procedure Scheme In Use is populated and Coded Procedure (Clinical Terminology) is blank, then a warning will be generated.</v>
          </cell>
          <cell r="O253" t="str">
            <v>All for analysis of the data item</v>
          </cell>
          <cell r="P253" t="str">
            <v>Required for anaylsis of the outcomes and activity between different activities or results</v>
          </cell>
          <cell r="Q253" t="str">
            <v>R</v>
          </cell>
          <cell r="R253">
            <v>2</v>
          </cell>
          <cell r="S253" t="str">
            <v>CYP20217 - Record rejected - Coded Procedure (Clinical Terminology) has incorrect data format. Care Activity Identifier=&lt;C202904&gt; Care Contact Identifier=&lt;C202903&gt; Service Request Identifier=&lt;C201902&gt; Local Patient Identifier (Extended)=&lt;C101901&gt; 
CYP20219 - Warning - Procedure Scheme In Use is populated, but Coded Procedure (Clinical Terminology) is blank. Care Activity Identifier=&lt;C202904&gt; Care Contact Identifier=&lt;C202903&gt; Service Request Identifier=&lt;C201902&gt; Local Patient Identifier (Extended)=&lt;C101901&gt; Coded Procedure (Clinical Terminology)=&lt;C202050&gt;</v>
          </cell>
        </row>
        <row r="254">
          <cell r="A254" t="str">
            <v>C202080</v>
          </cell>
          <cell r="B254" t="str">
            <v>C202</v>
          </cell>
          <cell r="C254" t="str">
            <v>080</v>
          </cell>
          <cell r="D254" t="str">
            <v>C202080_1</v>
          </cell>
          <cell r="E254" t="str">
            <v>CYP202CareActivity</v>
          </cell>
          <cell r="F254" t="str">
            <v>OBSERVATION SCHEME IN USE</v>
          </cell>
          <cell r="G254">
            <v>0</v>
          </cell>
          <cell r="H254">
            <v>253</v>
          </cell>
          <cell r="I254" t="str">
            <v>The code scheme basis of an observation.</v>
          </cell>
          <cell r="J254" t="str">
            <v>an2</v>
          </cell>
          <cell r="K254" t="str">
            <v>N/A</v>
          </cell>
          <cell r="L254" t="str">
            <v>Reject</v>
          </cell>
          <cell r="M254" t="str">
            <v>Warning</v>
          </cell>
          <cell r="N254" t="str">
            <v>If Coded Observation (Clinical terminology) is populated, Observation Scheme In Use must contain a valid value or the record will be rejected.</v>
          </cell>
          <cell r="O254" t="str">
            <v>All for analysis of the data item</v>
          </cell>
          <cell r="P254" t="str">
            <v>Required for anaylsis of the outcomes and activity between different activities or results</v>
          </cell>
          <cell r="Q254" t="str">
            <v>R</v>
          </cell>
          <cell r="R254">
            <v>3</v>
          </cell>
          <cell r="S254" t="str">
            <v xml:space="preserve">CYP20229 - Record rejected - Observation Scheme In Use has incorrect data format. Care Activity Identifier=&lt;C202904&gt; Care Contact Identifier=&lt;C202903&gt; Service Request Identifier=&lt;C201902&gt; Local Patient Identifier (Extended)=&lt;C101901&gt; 
CYP20230 - Warning - Observation Scheme In Use contains an invalid Observation Scheme In Use. Care Activity Identifier=&lt;C202904&gt; Care Contact Identifier=&lt;C202903&gt; Service Request Identifier=&lt;C201902&gt; Local Patient Identifier (Extended)=&lt;C101901&gt; Observation Scheme In Use=&lt;C202080&gt;
CYP20231 - Record rejected - Coded Observation (Clinical Terminology) is populated, but no valid Observation Scheme In Use has been provided. Care Activity Identifier=&lt;C202904&gt; Care Contact Identifier=&lt;C202903&gt; Service Request Identifier=&lt;C201902&gt; Local Patient Identifier (Extended)=&lt;C101901&gt; </v>
          </cell>
        </row>
        <row r="255">
          <cell r="A255" t="str">
            <v>C202060</v>
          </cell>
          <cell r="B255" t="str">
            <v>C202</v>
          </cell>
          <cell r="C255" t="str">
            <v>060</v>
          </cell>
          <cell r="D255" t="str">
            <v>C202060_1</v>
          </cell>
          <cell r="E255" t="str">
            <v>CYP202CareActivity</v>
          </cell>
          <cell r="F255" t="str">
            <v>FINDING SCHEME IN USE</v>
          </cell>
          <cell r="G255">
            <v>0</v>
          </cell>
          <cell r="H255">
            <v>254</v>
          </cell>
          <cell r="I255" t="str">
            <v>The code scheme basis of a procedure.</v>
          </cell>
          <cell r="J255" t="str">
            <v>an2</v>
          </cell>
          <cell r="K255" t="str">
            <v>N/A</v>
          </cell>
          <cell r="L255" t="str">
            <v>Reject</v>
          </cell>
          <cell r="M255" t="str">
            <v>Warning</v>
          </cell>
          <cell r="N255" t="str">
            <v>If Coded Finding (Coded Clinical Entry) is populated, Finding Scheme In use must contain a valid value or the record will be rejected.</v>
          </cell>
          <cell r="O255" t="str">
            <v>All for analysis of the data item</v>
          </cell>
          <cell r="P255" t="str">
            <v>Required for anaylsis of the outcomes and activity between different activities or results</v>
          </cell>
          <cell r="Q255" t="str">
            <v>R</v>
          </cell>
          <cell r="R255">
            <v>3</v>
          </cell>
          <cell r="S255" t="str">
            <v xml:space="preserve">CYP20224 - Record rejected - Finding Scheme In Use has incorrect data format. Care Activity Identifier=&lt;C202904&gt; Care Contact Identifier=&lt;C202903&gt; Service Request Identifier=&lt;C201902&gt; Local Patient Identifier (Extended)=&lt;C101901&gt; 
CYP20225 - Warning - Finding Scheme In Use contains an invalid Finding Scheme In Use. Care Activity Identifier=&lt;C202904&gt; Care Contact Identifier=&lt;C202903&gt; Service Request Identifier=&lt;C201902&gt; Local Patient Identifier (Extended)=&lt;C101901&gt; 
CYP20226 - Record rejected - Coded Finding (Coded Clinical Entry) is populated, but no valid Finding Scheme In Use has been provided. Care Activity Identifier=&lt;C202904&gt; Care Contact Identifier=&lt;C202903&gt; Service Request Identifier=&lt;C201902&gt; Local Patient Identifier (Extended)=&lt;C101901&gt;  </v>
          </cell>
        </row>
        <row r="256">
          <cell r="A256" t="str">
            <v>C202D01</v>
          </cell>
          <cell r="E256" t="str">
            <v>CYP202CareActivity</v>
          </cell>
          <cell r="F256" t="str">
            <v>RECORD NUMBER</v>
          </cell>
          <cell r="G256">
            <v>1</v>
          </cell>
          <cell r="H256">
            <v>255</v>
          </cell>
          <cell r="I256" t="str">
            <v>Record number in this extract file.</v>
          </cell>
          <cell r="J256" t="str">
            <v>max n6</v>
          </cell>
        </row>
        <row r="257">
          <cell r="A257" t="str">
            <v>C202D02</v>
          </cell>
          <cell r="E257" t="str">
            <v>CYP202CareActivity</v>
          </cell>
          <cell r="F257" t="str">
            <v>CYP202 UNIQUE ID</v>
          </cell>
          <cell r="G257">
            <v>1</v>
          </cell>
          <cell r="H257">
            <v>256</v>
          </cell>
          <cell r="I257" t="str">
            <v>A unique ID per table.  This continues across reporting periods and across providers.  This uniquely identifies a row of data within a table.</v>
          </cell>
          <cell r="J257" t="str">
            <v>min n6 max n20</v>
          </cell>
        </row>
        <row r="258">
          <cell r="A258" t="str">
            <v>C202D03</v>
          </cell>
          <cell r="E258" t="str">
            <v>CYP202CareActivity</v>
          </cell>
          <cell r="F258" t="str">
            <v>ORGANISATION CODE (PROVIDER)</v>
          </cell>
          <cell r="G258">
            <v>1</v>
          </cell>
          <cell r="H258">
            <v>257</v>
          </cell>
          <cell r="I258" t="str">
            <v>Organisation code of provider submitting the data.</v>
          </cell>
          <cell r="J258" t="str">
            <v>max an6</v>
          </cell>
        </row>
        <row r="259">
          <cell r="A259" t="str">
            <v>C202D04</v>
          </cell>
          <cell r="E259" t="str">
            <v>CYP202CareActivity</v>
          </cell>
          <cell r="F259" t="str">
            <v>UNIQUE CYPHS ID (PATIENT)</v>
          </cell>
          <cell r="G259">
            <v>1</v>
          </cell>
          <cell r="H259">
            <v>258</v>
          </cell>
          <cell r="I259" t="str">
            <v>A nationally unique ID for the patient in the CYPHS Data Set generated from an index held by the BSP.</v>
          </cell>
          <cell r="J259" t="str">
            <v>max n10</v>
          </cell>
        </row>
        <row r="260">
          <cell r="A260" t="str">
            <v>C202D05</v>
          </cell>
          <cell r="E260" t="str">
            <v>CYP202CareActivity</v>
          </cell>
          <cell r="F260" t="str">
            <v>BSP UNIQUE ID</v>
          </cell>
          <cell r="G260">
            <v>1</v>
          </cell>
          <cell r="H260">
            <v>259</v>
          </cell>
          <cell r="I260" t="str">
            <v xml:space="preserve">A unique ID applied when original data file was uploaded to the Bureau Service Portal. Where a single upload is used to provide data for different reporting periods, there will be a separate BSPUniqueID assigned to each reporting period.  </v>
          </cell>
          <cell r="J260" t="str">
            <v>max n6</v>
          </cell>
        </row>
        <row r="261">
          <cell r="A261" t="str">
            <v>C202D06</v>
          </cell>
          <cell r="E261" t="str">
            <v>CYP202CareActivity</v>
          </cell>
          <cell r="F261" t="str">
            <v>UNIQUE CARE CONTACT IDENTIFIER</v>
          </cell>
          <cell r="G261">
            <v>1</v>
          </cell>
          <cell r="H261">
            <v>260</v>
          </cell>
          <cell r="I261" t="str">
            <v>To uniquely identify the contact</v>
          </cell>
          <cell r="J261" t="str">
            <v>max an26</v>
          </cell>
        </row>
        <row r="262">
          <cell r="A262" t="str">
            <v>C202D07</v>
          </cell>
          <cell r="E262" t="str">
            <v>CYP202CareActivity</v>
          </cell>
          <cell r="F262" t="str">
            <v>UNIQUE CARE ACTIVITY IDENTIFIER</v>
          </cell>
          <cell r="G262">
            <v>1</v>
          </cell>
          <cell r="H262">
            <v>261</v>
          </cell>
          <cell r="I262" t="str">
            <v>To uniquely identify the activity</v>
          </cell>
          <cell r="J262" t="str">
            <v>max an26</v>
          </cell>
        </row>
        <row r="263">
          <cell r="A263" t="str">
            <v>C301912</v>
          </cell>
          <cell r="B263" t="str">
            <v>C301</v>
          </cell>
          <cell r="C263" t="str">
            <v>912</v>
          </cell>
          <cell r="D263" t="str">
            <v>912_3</v>
          </cell>
          <cell r="E263" t="str">
            <v>CYP301GroupSession</v>
          </cell>
          <cell r="F263" t="str">
            <v>ORGANISATION CODE (CODE OF COMMISSIONER)</v>
          </cell>
          <cell r="G263">
            <v>0</v>
          </cell>
          <cell r="H263">
            <v>262</v>
          </cell>
          <cell r="I263" t="str">
            <v>This is the ORGANISATION CODE of the ORGANISATION commissioning health care.
This should always be the ORGANISATION CODE of the original commissioner for Commissioning Data Sets to support Payment by Results.
The Department of Health document "Who pays? Establishing the Responsible Commissioner" sets out a framework for establishing responsibility for commissioning an individual's care within the NHS, (i.e. determining who pays for a PATIENT’s care.) 
http://www.dh.gov.uk/en/Publicationsandstatistics/Publications/PublicationsPolicyAndGuidance/DH_078466
Further guidance is available on the NHS Data Dictionary Website:
http://www.datadictionary.nhs.uk/data_dictionary/data_field_notes/o/org/organisation_code_(code_of_commissioner)_de.asp?shownav=1</v>
          </cell>
          <cell r="J263" t="str">
            <v>an3 or an5</v>
          </cell>
          <cell r="K263" t="str">
            <v>Reject</v>
          </cell>
          <cell r="L263" t="str">
            <v>Reject</v>
          </cell>
          <cell r="M263" t="str">
            <v>Warning</v>
          </cell>
          <cell r="N263" t="str">
            <v>If OrgCodeComm is not in national tables, a warning will be output</v>
          </cell>
          <cell r="O263" t="str">
            <v>Used to analyse by commisioner</v>
          </cell>
          <cell r="P263" t="str">
            <v>Required for reporting on Commissioning Organisation</v>
          </cell>
          <cell r="Q263" t="str">
            <v>M</v>
          </cell>
          <cell r="R263">
            <v>3</v>
          </cell>
          <cell r="S263" t="str">
            <v>CYP30120 - Record rejected - Organisation Code (Code of Commissioner) is blank. Group Session Identifier=&lt;C301010&gt;
CYP30105 - Record rejected - Organisation Code (Code of Commissioner) has incorrect data format. Group Session Identifier=&lt;C301010&gt;
CYP30106 - Warning - Organisation Code (Code of Commissioner) is not for a current live organisation in national tables. Group Session Identifier=&lt;C301010&gt; Organisation Code (Code of Commissioner) = &lt;C301912&gt;</v>
          </cell>
        </row>
        <row r="264">
          <cell r="A264" t="str">
            <v>C301905</v>
          </cell>
          <cell r="B264" t="str">
            <v>C301</v>
          </cell>
          <cell r="C264" t="str">
            <v>905</v>
          </cell>
          <cell r="D264" t="str">
            <v>905_3</v>
          </cell>
          <cell r="E264" t="str">
            <v>CYP301GroupSession</v>
          </cell>
          <cell r="F264" t="str">
            <v>NHS SERVICE AGREEMENT LINE NUMBER</v>
          </cell>
          <cell r="G264">
            <v>0</v>
          </cell>
          <cell r="H264">
            <v>263</v>
          </cell>
          <cell r="I264" t="str">
            <v>A number (alphanumeric) to provide a unique identifier for a line within a NHS SERVICE AGREEMENT.
An NHS SERVICE AGREEMENT is a formal agreement between a commissioner ORGANISATION and one or more provider ORGANISATIONS for the provision of PATIENT care services.</v>
          </cell>
          <cell r="J264" t="str">
            <v>an10</v>
          </cell>
          <cell r="K264" t="str">
            <v>N/A</v>
          </cell>
          <cell r="L264" t="str">
            <v>Reject</v>
          </cell>
          <cell r="M264" t="str">
            <v>N/A</v>
          </cell>
          <cell r="O264" t="str">
            <v>All to identify a service agreement line</v>
          </cell>
          <cell r="P264" t="str">
            <v>Used to uniquely identify a service agreement line</v>
          </cell>
          <cell r="Q264" t="str">
            <v>O</v>
          </cell>
          <cell r="R264">
            <v>1</v>
          </cell>
          <cell r="S264" t="str">
            <v>CYP30117 - Record rejected - NHS Service Agreement Line Number has incorrect data format. Group Session Identifier=&lt;C301010&gt;</v>
          </cell>
        </row>
        <row r="265">
          <cell r="A265" t="str">
            <v>C301909</v>
          </cell>
          <cell r="B265" t="str">
            <v>C301</v>
          </cell>
          <cell r="C265" t="str">
            <v>909</v>
          </cell>
          <cell r="D265" t="str">
            <v>909_2</v>
          </cell>
          <cell r="E265" t="str">
            <v>CYP301GroupSession</v>
          </cell>
          <cell r="F265" t="str">
            <v>ACTIVITY LOCATION TYPE CODE</v>
          </cell>
          <cell r="G265">
            <v>0</v>
          </cell>
          <cell r="H265">
            <v>264</v>
          </cell>
          <cell r="I265" t="str">
            <v>The type of physical LOCATION where PATIENTS are seen or where SERVICES are provided or from which requests for services are sent.</v>
          </cell>
          <cell r="J265" t="str">
            <v>an3</v>
          </cell>
          <cell r="K265" t="str">
            <v>N/A</v>
          </cell>
          <cell r="L265" t="str">
            <v>Reject</v>
          </cell>
          <cell r="M265" t="str">
            <v>Warning</v>
          </cell>
          <cell r="O265" t="str">
            <v>Used for analysis of data item</v>
          </cell>
          <cell r="P265" t="str">
            <v>Required for reporting on Care Activities, Performance and Pricing</v>
          </cell>
          <cell r="Q265" t="str">
            <v>O</v>
          </cell>
          <cell r="R265">
            <v>2</v>
          </cell>
          <cell r="S265" t="str">
            <v>CYP30111 - Record rejected - Activity Location Type Code has incorrect data format.
CYP30112 - Warning - Activity Location Type Code contains an invalid Activity Location Type Code Group Session Identifier=&lt;C301010&gt; Activity Location Type Code=&lt;C301909&gt;</v>
          </cell>
        </row>
        <row r="266">
          <cell r="A266" t="str">
            <v>C301906</v>
          </cell>
          <cell r="B266" t="str">
            <v>C301</v>
          </cell>
          <cell r="C266" t="str">
            <v>906</v>
          </cell>
          <cell r="D266" t="str">
            <v>906_2</v>
          </cell>
          <cell r="E266" t="str">
            <v>CYP301GroupSession</v>
          </cell>
          <cell r="F266" t="str">
            <v>SITE CODE (OF TREATMENT)</v>
          </cell>
          <cell r="G266">
            <v>0</v>
          </cell>
          <cell r="H266">
            <v>265</v>
          </cell>
          <cell r="I266" t="str">
            <v>SITE CODE (OF TREATMENT) is the ORGANISATION SITE CODE for the ORGANISATION SITE where the PATIENT was treated. 
This identifies the site within the ORGANISATION on which the PATIENT was treated, since facilities may vary on different hospital sites. The code recorded should always be the national code; if the treatment is sub-commissioned to another provider, the site code used should be that of the provider actually carrying out the work.
If the Site Code is not available and only the Organisation Code is available then this field should contain the Organisation Code suffixed with '00' as the site code.</v>
          </cell>
          <cell r="J266" t="str">
            <v>min an5 max an9</v>
          </cell>
          <cell r="K266" t="str">
            <v>N/A</v>
          </cell>
          <cell r="L266" t="str">
            <v>Reject</v>
          </cell>
          <cell r="M266" t="str">
            <v>Warning</v>
          </cell>
          <cell r="O266" t="str">
            <v>Used for analysis of data item</v>
          </cell>
          <cell r="P266" t="str">
            <v>Required for reporting on Care Activities, Performance and Pricing</v>
          </cell>
          <cell r="Q266" t="str">
            <v>R</v>
          </cell>
          <cell r="R266">
            <v>2</v>
          </cell>
          <cell r="S266" t="str">
            <v>CYP30113 - Record rejected - Site Code (Of Treatment) has incorrect data format. Group Session Identifier=&lt;C301010&gt;
CYP30114 - Warning - Site Code (Of Treatment) is not for a current live organisation in national tables. Group Session Identifier=&lt;C301010&gt;</v>
          </cell>
        </row>
        <row r="267">
          <cell r="A267" t="str">
            <v>C301010</v>
          </cell>
          <cell r="B267" t="str">
            <v>C301</v>
          </cell>
          <cell r="C267" t="str">
            <v>010</v>
          </cell>
          <cell r="D267" t="str">
            <v>C301010_1</v>
          </cell>
          <cell r="E267" t="str">
            <v>CYP301GroupSession</v>
          </cell>
          <cell r="F267" t="str">
            <v>GROUP SESSION IDENTIFIER</v>
          </cell>
          <cell r="G267">
            <v>0</v>
          </cell>
          <cell r="H267">
            <v>266</v>
          </cell>
          <cell r="I267" t="str">
            <v xml:space="preserve">The GROUP SESSION IDENTIFIER  is used to uniquely identify the GROUP SESSION within the Health Care Provider.
It would normally be automatically generated by the local system upon recording a new Group Session, although could be manually assigned.
This may be the same as the Community Care Contact Identifier depending upon the local system. </v>
          </cell>
          <cell r="J267" t="str">
            <v>max an20</v>
          </cell>
          <cell r="K267" t="str">
            <v>Reject</v>
          </cell>
          <cell r="L267" t="str">
            <v>Reject</v>
          </cell>
          <cell r="M267" t="str">
            <v>N/A</v>
          </cell>
          <cell r="O267" t="str">
            <v>Uniquely identify a group session</v>
          </cell>
          <cell r="P267" t="str">
            <v>Required for reporting on Care Activities</v>
          </cell>
          <cell r="Q267" t="str">
            <v>M</v>
          </cell>
          <cell r="R267">
            <v>2</v>
          </cell>
          <cell r="S267" t="str">
            <v>CYP30101 - Record rejected - Group Session Identifier is blank.
CYP30102 - Record rejected - Group Session Identifier has incorrect data format. Group Session Identifier=&lt;C301010&gt;</v>
          </cell>
        </row>
        <row r="268">
          <cell r="A268" t="str">
            <v>C301020</v>
          </cell>
          <cell r="B268" t="str">
            <v>C301</v>
          </cell>
          <cell r="C268" t="str">
            <v>020</v>
          </cell>
          <cell r="D268" t="str">
            <v>C301020_1</v>
          </cell>
          <cell r="E268" t="str">
            <v>CYP301GroupSession</v>
          </cell>
          <cell r="F268" t="str">
            <v>GROUP SESSION DATE</v>
          </cell>
          <cell r="G268">
            <v>0</v>
          </cell>
          <cell r="H268">
            <v>267</v>
          </cell>
          <cell r="I268" t="str">
            <v>The date that a Group Session took place, or, if cancelled, was scheduled to take place.  
Where a Group Session spans multiple days the Start Date should be reported here.
This should be reported in eGIF date format CCYY-MM-DD.</v>
          </cell>
          <cell r="J268" t="str">
            <v>an10
ccyy-mm-dd</v>
          </cell>
          <cell r="K268" t="str">
            <v>Reject</v>
          </cell>
          <cell r="L268" t="str">
            <v>Reject</v>
          </cell>
          <cell r="M268" t="str">
            <v>N/A</v>
          </cell>
          <cell r="N268" t="str">
            <v>If GroupSessionDate is populated and not within the reporting period, the record will be rejected.</v>
          </cell>
          <cell r="O268" t="str">
            <v>All to analyse between the data item and other events</v>
          </cell>
          <cell r="P268" t="str">
            <v>Required for reporting on Care Activities, Performance of Care Professionals</v>
          </cell>
          <cell r="Q268" t="str">
            <v>M</v>
          </cell>
          <cell r="R268">
            <v>3</v>
          </cell>
          <cell r="S268" t="str">
            <v xml:space="preserve">CYP30103 - Record rejected - Group Session Date is blank. Group Session Identifier=&lt;C301010&gt;
CYP30104 - Record rejected - Group Session Date has incorrect date format. Group Session Identifier=&lt;C301010&gt;
CYP30119 - Record rejected - Group Session Date is outside of the reporting period. Group Session Identifier=&lt;C301010&gt; Group Session Date=&lt;C301020&gt; </v>
          </cell>
        </row>
        <row r="269">
          <cell r="A269" t="str">
            <v>C301030</v>
          </cell>
          <cell r="B269" t="str">
            <v>C301</v>
          </cell>
          <cell r="C269" t="str">
            <v>030</v>
          </cell>
          <cell r="D269" t="str">
            <v>C301030_1</v>
          </cell>
          <cell r="E269" t="str">
            <v>CYP301GroupSession</v>
          </cell>
          <cell r="F269" t="str">
            <v>CLINICAL CONTACT DURATION OF GROUP SESSION</v>
          </cell>
          <cell r="G269">
            <v>0</v>
          </cell>
          <cell r="H269">
            <v>268</v>
          </cell>
          <cell r="I269" t="str">
            <v>The duration of a Group Session in minutes, excluding any administration time prior to or after the Group Session and the CARE PROFESSIONAL's travelling time to the LOCATION where the Group Session was provided.</v>
          </cell>
          <cell r="J269" t="str">
            <v>max n4</v>
          </cell>
          <cell r="K269" t="str">
            <v>N/A</v>
          </cell>
          <cell r="L269" t="str">
            <v>Reject</v>
          </cell>
          <cell r="M269" t="str">
            <v>N/A</v>
          </cell>
          <cell r="O269" t="str">
            <v>Used for analysis of data item</v>
          </cell>
          <cell r="P269" t="str">
            <v>Required for reporting on Care Activities, Performance of Care Professionals</v>
          </cell>
          <cell r="Q269" t="str">
            <v>R</v>
          </cell>
          <cell r="R269">
            <v>1</v>
          </cell>
          <cell r="S269" t="str">
            <v>CYP30107 - Record rejected - Clinical Contact Duration Of Group Session has incorrect time format. Group Session Identifier=&lt;C301010&gt;</v>
          </cell>
        </row>
        <row r="270">
          <cell r="A270" t="str">
            <v>C301040</v>
          </cell>
          <cell r="B270" t="str">
            <v>C301</v>
          </cell>
          <cell r="C270" t="str">
            <v>040</v>
          </cell>
          <cell r="D270" t="str">
            <v>C301040_1</v>
          </cell>
          <cell r="E270" t="str">
            <v>CYP301GroupSession</v>
          </cell>
          <cell r="F270" t="str">
            <v>GROUP SESSION TYPE CODE (COMMUNITY CARE)</v>
          </cell>
          <cell r="G270">
            <v>0</v>
          </cell>
          <cell r="H270">
            <v>269</v>
          </cell>
          <cell r="I270" t="str">
            <v xml:space="preserve">The type of Group Session provided by a Community Health Service.
</v>
          </cell>
          <cell r="J270" t="str">
            <v>an2</v>
          </cell>
          <cell r="K270" t="str">
            <v>N/A</v>
          </cell>
          <cell r="L270" t="str">
            <v>Reject</v>
          </cell>
          <cell r="M270" t="str">
            <v>Warning</v>
          </cell>
          <cell r="O270" t="str">
            <v>Used for analysis of data item</v>
          </cell>
          <cell r="P270" t="str">
            <v>Required for reporting on Group Activities</v>
          </cell>
          <cell r="Q270" t="str">
            <v>R</v>
          </cell>
          <cell r="R270">
            <v>2</v>
          </cell>
          <cell r="S270" t="str">
            <v>CYP30108 - Record rejected - Community Group Session Type Code has incorrect data format. Group Session Identifier=&lt;C301010&gt;
CYP30109 - Warning - Community Group Session Type Code contains an invalid Community Group Session Type Code Group Session Identifier=&lt;C301010&gt; Community Group Session Type Code=&lt;C301040&gt;</v>
          </cell>
        </row>
        <row r="271">
          <cell r="A271" t="str">
            <v>C301050</v>
          </cell>
          <cell r="B271" t="str">
            <v>C301</v>
          </cell>
          <cell r="C271" t="str">
            <v>050</v>
          </cell>
          <cell r="D271" t="str">
            <v>C301050_1</v>
          </cell>
          <cell r="E271" t="str">
            <v>CYP301GroupSession</v>
          </cell>
          <cell r="F271" t="str">
            <v xml:space="preserve">NUMBER OF GROUP SESSION PARTICIPANTS </v>
          </cell>
          <cell r="G271">
            <v>0</v>
          </cell>
          <cell r="H271">
            <v>270</v>
          </cell>
          <cell r="I271" t="str">
            <v>The number of persons who participated in the Group Session excluding the care professionals.</v>
          </cell>
          <cell r="J271" t="str">
            <v>max n3</v>
          </cell>
          <cell r="K271" t="str">
            <v>N/A</v>
          </cell>
          <cell r="L271" t="str">
            <v>Reject</v>
          </cell>
          <cell r="M271" t="str">
            <v>N/A</v>
          </cell>
          <cell r="O271" t="str">
            <v>Used for analysis of data item</v>
          </cell>
          <cell r="P271" t="str">
            <v>Required for reporting on Group Activities in terms of population coverage</v>
          </cell>
          <cell r="Q271" t="str">
            <v>R</v>
          </cell>
          <cell r="R271">
            <v>1</v>
          </cell>
          <cell r="S271" t="str">
            <v>CYP30110 - Record rejected - Number Of Group Session Participants has incorrect data format. Group Session Identifier=&lt;C301010&gt;</v>
          </cell>
        </row>
        <row r="272">
          <cell r="A272" t="str">
            <v>C301060</v>
          </cell>
          <cell r="B272" t="str">
            <v>C301</v>
          </cell>
          <cell r="C272" t="str">
            <v>060</v>
          </cell>
          <cell r="D272" t="str">
            <v>C301060_1</v>
          </cell>
          <cell r="E272" t="str">
            <v>CYP301GroupSession</v>
          </cell>
          <cell r="F272" t="str">
            <v>CARE PROFESSIONAL LOCAL IDENTIFIER</v>
          </cell>
          <cell r="G272">
            <v>0</v>
          </cell>
          <cell r="H272">
            <v>271</v>
          </cell>
          <cell r="I272" t="str">
            <v xml:space="preserve">CARE PROFESSIONAL LOCAL IDENTIFIER is a unique local CARE PROFESSIONAL IDENTIFIER within a Health Care Provider and may be assigned automatically by the computer system.
 </v>
          </cell>
          <cell r="J272" t="str">
            <v>max an20</v>
          </cell>
          <cell r="K272" t="str">
            <v>N/A</v>
          </cell>
          <cell r="L272" t="str">
            <v>Reject</v>
          </cell>
          <cell r="M272" t="str">
            <v>N/A</v>
          </cell>
          <cell r="O272" t="str">
            <v>All to identify care professional</v>
          </cell>
          <cell r="P272" t="str">
            <v>Used to uniquely identify a care professional</v>
          </cell>
          <cell r="Q272" t="str">
            <v>R</v>
          </cell>
          <cell r="R272">
            <v>1</v>
          </cell>
          <cell r="S272" t="str">
            <v>CYP30118 - Record rejected - Care Professional Local Identifier has incorrect data format. Group Session Identifier=&lt;C301010&gt;</v>
          </cell>
        </row>
        <row r="273">
          <cell r="A273" t="str">
            <v>C301D01</v>
          </cell>
          <cell r="E273" t="str">
            <v>CYP301GroupSession</v>
          </cell>
          <cell r="F273" t="str">
            <v>RECORD NUMBER</v>
          </cell>
          <cell r="G273">
            <v>1</v>
          </cell>
          <cell r="H273">
            <v>272</v>
          </cell>
          <cell r="I273" t="str">
            <v>Record number in this extract file.</v>
          </cell>
          <cell r="J273" t="str">
            <v>max n6</v>
          </cell>
        </row>
        <row r="274">
          <cell r="A274" t="str">
            <v>C301D02</v>
          </cell>
          <cell r="E274" t="str">
            <v>CYP301GroupSession</v>
          </cell>
          <cell r="F274" t="str">
            <v>CYP301 UNIQUE ID</v>
          </cell>
          <cell r="G274">
            <v>1</v>
          </cell>
          <cell r="H274">
            <v>273</v>
          </cell>
          <cell r="I274" t="str">
            <v>A unique ID per table. This continues across reporting periods and across providers. This uniquely identifies a row of data within a table.</v>
          </cell>
          <cell r="J274" t="str">
            <v>min n6 max n20</v>
          </cell>
        </row>
        <row r="275">
          <cell r="A275" t="str">
            <v>C301D03</v>
          </cell>
          <cell r="E275" t="str">
            <v>CYP301GroupSession</v>
          </cell>
          <cell r="F275" t="str">
            <v>ORGANISATION CODE (PROVIDER)</v>
          </cell>
          <cell r="G275">
            <v>1</v>
          </cell>
          <cell r="H275">
            <v>274</v>
          </cell>
          <cell r="I275" t="str">
            <v>Organisation code of provider submitting the data.</v>
          </cell>
          <cell r="J275" t="str">
            <v>max an6</v>
          </cell>
        </row>
        <row r="276">
          <cell r="A276" t="str">
            <v>C301D04</v>
          </cell>
          <cell r="E276" t="str">
            <v>CYP301GroupSession</v>
          </cell>
          <cell r="F276" t="str">
            <v>BSP UNIQUE ID</v>
          </cell>
          <cell r="G276">
            <v>1</v>
          </cell>
          <cell r="H276">
            <v>275</v>
          </cell>
          <cell r="I276" t="str">
            <v xml:space="preserve">A unique ID applied when original data file was uploaded to the Bureau Service Portal. Where a single upload is used to provide data for different reporting periods, there will be a separate BSPUniqueID assigned to each reporting period.  </v>
          </cell>
          <cell r="J276" t="str">
            <v>max n6</v>
          </cell>
        </row>
        <row r="277">
          <cell r="A277" t="str">
            <v>C401901</v>
          </cell>
          <cell r="B277" t="str">
            <v>C401</v>
          </cell>
          <cell r="C277" t="str">
            <v>901</v>
          </cell>
          <cell r="D277" t="str">
            <v>901_5</v>
          </cell>
          <cell r="E277" t="str">
            <v>CYP401SpEdNeedId</v>
          </cell>
          <cell r="F277" t="str">
            <v>LOCAL PATIENT IDENTIFIER (EXTENDED)</v>
          </cell>
          <cell r="G277">
            <v>0</v>
          </cell>
          <cell r="H277">
            <v>276</v>
          </cell>
          <cell r="I277" t="str">
            <v>This is a number used to identify a PATIENT uniquely within a Health Care Provider. It may be different from the PATIENT's casenote number and may be assigned automatically by the computer system.</v>
          </cell>
          <cell r="J277" t="str">
            <v>max an20</v>
          </cell>
          <cell r="K277" t="str">
            <v>Reject</v>
          </cell>
          <cell r="L277" t="str">
            <v>Reject</v>
          </cell>
          <cell r="M277" t="str">
            <v>N/A</v>
          </cell>
          <cell r="O277" t="str">
            <v>All to identify individual</v>
          </cell>
          <cell r="P277" t="str">
            <v>Used to uniquely identify an individual</v>
          </cell>
          <cell r="Q277" t="str">
            <v>M</v>
          </cell>
          <cell r="R277">
            <v>2</v>
          </cell>
          <cell r="S277" t="str">
            <v>CYP40102 - Record rejected - Local Patient Identifier (Extended) is blank.
CYP40103 - Record rejected - Local Patient Identifier (Extended) has incorrect data format. Local Patient Identifier (Extended)=&lt;C401901&gt;</v>
          </cell>
        </row>
        <row r="278">
          <cell r="A278" t="str">
            <v>C401010</v>
          </cell>
          <cell r="B278" t="str">
            <v>C401</v>
          </cell>
          <cell r="C278" t="str">
            <v>010</v>
          </cell>
          <cell r="D278" t="str">
            <v>C401010_1</v>
          </cell>
          <cell r="E278" t="str">
            <v>CYP401SpEdNeedId</v>
          </cell>
          <cell r="F278" t="str">
            <v>SPECIAL EDUCATIONAL NEED TYPE</v>
          </cell>
          <cell r="G278">
            <v>0</v>
          </cell>
          <cell r="H278">
            <v>277</v>
          </cell>
          <cell r="I278" t="str">
            <v>The type of special educational needs of a person</v>
          </cell>
          <cell r="J278" t="str">
            <v>an2</v>
          </cell>
          <cell r="K278" t="str">
            <v>Reject</v>
          </cell>
          <cell r="L278" t="str">
            <v>Reject</v>
          </cell>
          <cell r="M278" t="str">
            <v>Warning</v>
          </cell>
          <cell r="O278" t="str">
            <v>8.1.3.1</v>
          </cell>
          <cell r="P278" t="str">
            <v>Used to compare outcomes and provision for children/young people with disabilities or condition</v>
          </cell>
          <cell r="Q278" t="str">
            <v>M</v>
          </cell>
          <cell r="R278">
            <v>3</v>
          </cell>
          <cell r="S278" t="str">
            <v>CYP40104 - Record rejected - Special Educational Need Type is blank. Local Patient Identifier (Extended)=&lt;C401901&gt;
CYP40105 - Record rejected - Special Educational Need Type has incorrect data format. Local Patient Identifier (Extended)=&lt;C401901&gt;
CYP40106 - Warning - Special Educational Need Type contains an invalid Special Educational Need Type. Local Patient Identifier=&lt;C401901&gt; Special Educational Need Type=&lt;C401010&gt;</v>
          </cell>
        </row>
        <row r="279">
          <cell r="A279" t="str">
            <v>C401D01</v>
          </cell>
          <cell r="E279" t="str">
            <v>CYP401SpEdNeedId</v>
          </cell>
          <cell r="F279" t="str">
            <v>RECORD NUMBER</v>
          </cell>
          <cell r="G279">
            <v>1</v>
          </cell>
          <cell r="H279">
            <v>278</v>
          </cell>
          <cell r="I279" t="str">
            <v>Record number in this extract file.</v>
          </cell>
          <cell r="J279" t="str">
            <v>max n6</v>
          </cell>
        </row>
        <row r="280">
          <cell r="A280" t="str">
            <v>C401D02</v>
          </cell>
          <cell r="E280" t="str">
            <v>CYP401SpEdNeedId</v>
          </cell>
          <cell r="F280" t="str">
            <v>CYP401 UNIQUE ID</v>
          </cell>
          <cell r="G280">
            <v>1</v>
          </cell>
          <cell r="H280">
            <v>279</v>
          </cell>
          <cell r="I280" t="str">
            <v>A unique ID per table.  This continues across reporting periods and across providers.  This uniquely identifies a row of data within a table.</v>
          </cell>
          <cell r="J280" t="str">
            <v>min n6 max n20</v>
          </cell>
        </row>
        <row r="281">
          <cell r="A281" t="str">
            <v>C401D03</v>
          </cell>
          <cell r="E281" t="str">
            <v>CYP401SpEdNeedId</v>
          </cell>
          <cell r="F281" t="str">
            <v>ORGANISATION CODE (PROVIDER)</v>
          </cell>
          <cell r="G281">
            <v>1</v>
          </cell>
          <cell r="H281">
            <v>280</v>
          </cell>
          <cell r="I281" t="str">
            <v>Organisation code of provider submitting the data.</v>
          </cell>
          <cell r="J281" t="str">
            <v>max an6</v>
          </cell>
        </row>
        <row r="282">
          <cell r="A282" t="str">
            <v>C401D04</v>
          </cell>
          <cell r="E282" t="str">
            <v>CYP401SpEdNeedId</v>
          </cell>
          <cell r="F282" t="str">
            <v>UNIQUE CYPHS ID (PATIENT)</v>
          </cell>
          <cell r="G282">
            <v>1</v>
          </cell>
          <cell r="H282">
            <v>281</v>
          </cell>
          <cell r="I282" t="str">
            <v>A nationally unique ID for the patient in the CYPHS Data Set generated from an index held by the BSP.</v>
          </cell>
          <cell r="J282" t="str">
            <v>max n10</v>
          </cell>
        </row>
        <row r="283">
          <cell r="A283" t="str">
            <v>C401D05</v>
          </cell>
          <cell r="E283" t="str">
            <v>CYP401SpEdNeedId</v>
          </cell>
          <cell r="F283" t="str">
            <v>BSP UNIQUE ID</v>
          </cell>
          <cell r="G283">
            <v>1</v>
          </cell>
          <cell r="H283">
            <v>282</v>
          </cell>
          <cell r="I283" t="str">
            <v xml:space="preserve">A unique ID applied when original data file was uploaded to the Bureau Service Portal. Where a single upload is used to provide data for different reporting periods, there will be a separate BSPUniqueID assigned to each reporting period.  </v>
          </cell>
          <cell r="J283" t="str">
            <v>max n6</v>
          </cell>
        </row>
        <row r="284">
          <cell r="A284" t="str">
            <v>C402901</v>
          </cell>
          <cell r="B284" t="str">
            <v>C402</v>
          </cell>
          <cell r="C284" t="str">
            <v>901</v>
          </cell>
          <cell r="D284" t="str">
            <v>901_6</v>
          </cell>
          <cell r="E284" t="str">
            <v>CYP402SVF</v>
          </cell>
          <cell r="F284" t="str">
            <v>LOCAL PATIENT IDENTIFIER (EXTENDED)</v>
          </cell>
          <cell r="G284">
            <v>0</v>
          </cell>
          <cell r="H284">
            <v>283</v>
          </cell>
          <cell r="I284" t="str">
            <v>This is a number used to identify a PATIENT uniquely within a Health Care Provider. It may be different from the PATIENT's casenote number and may be assigned automatically by the computer system.</v>
          </cell>
          <cell r="J284" t="str">
            <v>max an20</v>
          </cell>
          <cell r="K284" t="str">
            <v>Reject</v>
          </cell>
          <cell r="L284" t="str">
            <v>Reject</v>
          </cell>
          <cell r="M284" t="str">
            <v>N/A</v>
          </cell>
          <cell r="O284" t="str">
            <v>All to identify individual</v>
          </cell>
          <cell r="P284" t="str">
            <v>Used to uniquely identify an individual</v>
          </cell>
          <cell r="Q284" t="str">
            <v>M</v>
          </cell>
          <cell r="R284">
            <v>2</v>
          </cell>
          <cell r="S284" t="str">
            <v>CYP40202 - Record rejected - Local Patient Identifier (Extended) is blank. 
CYP40203 - Record rejected - Local Patient Identifier (Extended) has incorrect data format. Local Patient Identifier (Extended)=&lt;C402901&gt;</v>
          </cell>
        </row>
        <row r="285">
          <cell r="A285" t="str">
            <v>C402010</v>
          </cell>
          <cell r="B285" t="str">
            <v>C402</v>
          </cell>
          <cell r="C285" t="str">
            <v>010</v>
          </cell>
          <cell r="D285" t="str">
            <v>C402010_1</v>
          </cell>
          <cell r="E285" t="str">
            <v>CYP402SVF</v>
          </cell>
          <cell r="F285" t="str">
            <v>SAFEGUARDING VULNERABILITY FACTORS TYPE</v>
          </cell>
          <cell r="G285">
            <v>0</v>
          </cell>
          <cell r="H285">
            <v>284</v>
          </cell>
          <cell r="I285" t="str">
            <v>The type of Child Safeguarding vulnerability factors identified.</v>
          </cell>
          <cell r="J285" t="str">
            <v>an2</v>
          </cell>
          <cell r="K285" t="str">
            <v>Reject</v>
          </cell>
          <cell r="L285" t="str">
            <v>Reject</v>
          </cell>
          <cell r="M285" t="str">
            <v>Warning</v>
          </cell>
          <cell r="O285" t="str">
            <v>Used for analysis of data item</v>
          </cell>
          <cell r="P285" t="str">
            <v>To monitor details of children with safeguarding concerns</v>
          </cell>
          <cell r="Q285" t="str">
            <v>M</v>
          </cell>
          <cell r="R285">
            <v>3</v>
          </cell>
          <cell r="S285" t="str">
            <v>CYP40204 - Record rejected - Safeguarding Vulnerability Factors Type is blank. Local Patient Identifier (Extended)=&lt;C402901&gt;
CYP40205 - Record rejected - Safeguarding Vulnerability Factors Type has incorrect data format. Local Patient Identifier (Extended)=&lt;C402901&gt;
CYP40206 - Warning - Safeguarding Vulnerability Factors Type contains an invalid Safeguarding Vulnerability Factors Type. Local Patient Identifier=&lt;C402901&gt; Safeguarding Vulnerability Factors Type=&lt;C402010&gt;</v>
          </cell>
        </row>
        <row r="286">
          <cell r="A286" t="str">
            <v>C402D01</v>
          </cell>
          <cell r="E286" t="str">
            <v>CYP402SVF</v>
          </cell>
          <cell r="F286" t="str">
            <v>RECORD NUMBER</v>
          </cell>
          <cell r="G286">
            <v>1</v>
          </cell>
          <cell r="H286">
            <v>285</v>
          </cell>
          <cell r="I286" t="str">
            <v>Record number in this extract file.</v>
          </cell>
          <cell r="J286" t="str">
            <v>max n6</v>
          </cell>
        </row>
        <row r="287">
          <cell r="A287" t="str">
            <v>C402D02</v>
          </cell>
          <cell r="E287" t="str">
            <v>CYP402SVF</v>
          </cell>
          <cell r="F287" t="str">
            <v>CYP402 UNIQUE ID</v>
          </cell>
          <cell r="G287">
            <v>1</v>
          </cell>
          <cell r="H287">
            <v>286</v>
          </cell>
          <cell r="I287" t="str">
            <v>A unique ID per table.  This continues across reporting periods and across providers.  This uniquely identifies a row of data within a table.</v>
          </cell>
          <cell r="J287" t="str">
            <v>min n6 max n20</v>
          </cell>
        </row>
        <row r="288">
          <cell r="A288" t="str">
            <v>C402D03</v>
          </cell>
          <cell r="E288" t="str">
            <v>CYP402SVF</v>
          </cell>
          <cell r="F288" t="str">
            <v>ORGANISATION CODE (PROVIDER)</v>
          </cell>
          <cell r="G288">
            <v>1</v>
          </cell>
          <cell r="H288">
            <v>287</v>
          </cell>
          <cell r="I288" t="str">
            <v>Organisation code of provider submitting the data.</v>
          </cell>
          <cell r="J288" t="str">
            <v>max an6</v>
          </cell>
        </row>
        <row r="289">
          <cell r="A289" t="str">
            <v>C402D04</v>
          </cell>
          <cell r="E289" t="str">
            <v>CYP402SVF</v>
          </cell>
          <cell r="F289" t="str">
            <v>UNIQUE CYPHS ID (PATIENT)</v>
          </cell>
          <cell r="G289">
            <v>1</v>
          </cell>
          <cell r="H289">
            <v>288</v>
          </cell>
          <cell r="I289" t="str">
            <v>A nationally unique ID for the patient in the CYPHS Data Set generated from an index held by the BSP.</v>
          </cell>
          <cell r="J289" t="str">
            <v>max n10</v>
          </cell>
        </row>
        <row r="290">
          <cell r="A290" t="str">
            <v>C402D05</v>
          </cell>
          <cell r="E290" t="str">
            <v>CYP402SVF</v>
          </cell>
          <cell r="F290" t="str">
            <v>BSP UNIQUE ID</v>
          </cell>
          <cell r="G290">
            <v>1</v>
          </cell>
          <cell r="H290">
            <v>289</v>
          </cell>
          <cell r="I290" t="str">
            <v xml:space="preserve">A unique ID applied when original data file was uploaded to the Bureau Service Portal. Where a single upload is used to provide data for different reporting periods, there will be a separate BSPUniqueID assigned to each reporting period.  </v>
          </cell>
          <cell r="J290" t="str">
            <v>max n6</v>
          </cell>
        </row>
        <row r="291">
          <cell r="A291" t="str">
            <v>C403901</v>
          </cell>
          <cell r="B291" t="str">
            <v>C403</v>
          </cell>
          <cell r="C291" t="str">
            <v>901</v>
          </cell>
          <cell r="D291" t="str">
            <v>901_7</v>
          </cell>
          <cell r="E291" t="str">
            <v>CYP403CPP</v>
          </cell>
          <cell r="F291" t="str">
            <v>LOCAL PATIENT IDENTIFIER (EXTENDED)</v>
          </cell>
          <cell r="G291">
            <v>0</v>
          </cell>
          <cell r="H291">
            <v>290</v>
          </cell>
          <cell r="I291" t="str">
            <v>This is a number used to identify a PATIENT uniquely within a Health Care Provider. It may be different from the PATIENT's casenote number and may be assigned automatically by the computer system.</v>
          </cell>
          <cell r="J291" t="str">
            <v>max an20</v>
          </cell>
          <cell r="K291" t="str">
            <v>Reject</v>
          </cell>
          <cell r="L291" t="str">
            <v>Reject</v>
          </cell>
          <cell r="M291" t="str">
            <v>N/A</v>
          </cell>
          <cell r="O291" t="str">
            <v>All to identify individual</v>
          </cell>
          <cell r="P291" t="str">
            <v>Used to uniquely identify an individual</v>
          </cell>
          <cell r="Q291" t="str">
            <v>M</v>
          </cell>
          <cell r="R291">
            <v>2</v>
          </cell>
          <cell r="S291" t="str">
            <v>CYP40302 - Record rejected - Local Patient Identifier (Extended) is blank. 
CYP40303 - Record rejected - Local Patient Identifier (Extended) has incorrect data format. Local Patient Identifier (Extended)=&lt;C403901&gt;</v>
          </cell>
        </row>
        <row r="292">
          <cell r="A292" t="str">
            <v>C403010</v>
          </cell>
          <cell r="B292" t="str">
            <v>C403</v>
          </cell>
          <cell r="C292" t="str">
            <v>010</v>
          </cell>
          <cell r="D292" t="str">
            <v>C403010_1</v>
          </cell>
          <cell r="E292" t="str">
            <v>CYP403CPP</v>
          </cell>
          <cell r="F292" t="str">
            <v>CHILD PROTECTION PLAN REASON CODE</v>
          </cell>
          <cell r="G292">
            <v>0</v>
          </cell>
          <cell r="H292">
            <v>291</v>
          </cell>
          <cell r="I292" t="str">
            <v>The reason the Child or Young Person (Children and Young People's Health Service) is subject to an active Child Protection Plan.</v>
          </cell>
          <cell r="J292" t="str">
            <v>an2</v>
          </cell>
          <cell r="K292" t="str">
            <v>Reject</v>
          </cell>
          <cell r="L292" t="str">
            <v>Reject</v>
          </cell>
          <cell r="M292" t="str">
            <v>Warning</v>
          </cell>
          <cell r="O292" t="str">
            <v>Used for analysis of data item</v>
          </cell>
          <cell r="P292" t="str">
            <v>To monitor details of children on a child protection plan</v>
          </cell>
          <cell r="Q292" t="str">
            <v>M</v>
          </cell>
          <cell r="R292">
            <v>3</v>
          </cell>
          <cell r="S292" t="str">
            <v>CYP40304 - Record rejected - Child Protection Plan Reason Code is blank. Local Patient Identifier (Extended)=&lt;C403901&gt;
CYP40305 - Record rejected - Child Protection Plan Reason Code has incorrect data format. Local Patient Identifier (Extended)=&lt;C403901&gt;
CYP40306 - Warning - Child Protection Plan Reason Code contains an invalid Child Protection Plan Reason Code. Local Patient Identifier=&lt;C403901&gt; Child Protection Plan Reason Code=&lt;C403010&gt;</v>
          </cell>
        </row>
        <row r="293">
          <cell r="A293" t="str">
            <v>C403020</v>
          </cell>
          <cell r="B293" t="str">
            <v>C403</v>
          </cell>
          <cell r="C293" t="str">
            <v>020</v>
          </cell>
          <cell r="D293" t="str">
            <v>C403020_1</v>
          </cell>
          <cell r="E293" t="str">
            <v>CYP403CPP</v>
          </cell>
          <cell r="F293" t="str">
            <v>CHILD PROTECTION PLAN START DATE</v>
          </cell>
          <cell r="G293">
            <v>0</v>
          </cell>
          <cell r="H293">
            <v>292</v>
          </cell>
          <cell r="I293" t="str">
            <v>The date on which a child / young person is placed on a child protection plan</v>
          </cell>
          <cell r="J293" t="str">
            <v>an10
ccyy-mm-dd</v>
          </cell>
          <cell r="K293" t="str">
            <v>Reject</v>
          </cell>
          <cell r="L293" t="str">
            <v>Reject</v>
          </cell>
          <cell r="M293" t="str">
            <v>N/A</v>
          </cell>
          <cell r="N293" t="str">
            <v>If CPPCarePlanStartDate is after the end of the reporting period, the record will be rejected.
If Child Protection Plan Start Date is before the Child's DATE OF BIRTH (as included in CYP001), then a warning will be generated.</v>
          </cell>
          <cell r="O293" t="str">
            <v>All to analyse between the data item and other events</v>
          </cell>
          <cell r="P293" t="str">
            <v>To monitor details of children on a child protection plan</v>
          </cell>
          <cell r="Q293" t="str">
            <v>M</v>
          </cell>
          <cell r="R293">
            <v>4</v>
          </cell>
          <cell r="S293" t="str">
            <v xml:space="preserve">CYP40310 - Record rejected - Child Protection Plan Start Date is blank. Local Patient Identifier=&lt;C403901&gt; 
CYP40308 - Record rejected - Child Protection Plan Start Date has incorrect date format. Local Patient Identifier (Extended)=&lt;C403901&gt;
CYP40311 - Warning - Child Protection Plan Start Date is before the Person Birth Date. Local Patient Identifier (Extended)=&lt;C403901&gt; Child Protection Plan Start Date=&lt;C403020&gt; 
CYP40312 - Record rejected - Child Protection Plan Start Date is after the end of the reporting period. Local Patient Identifier=&lt;C403901&gt; Child Protection Plan Start Date=&lt;C403020&gt; </v>
          </cell>
        </row>
        <row r="294">
          <cell r="A294" t="str">
            <v>C403030</v>
          </cell>
          <cell r="B294" t="str">
            <v>C403</v>
          </cell>
          <cell r="C294" t="str">
            <v>030</v>
          </cell>
          <cell r="D294" t="str">
            <v>C403030_1</v>
          </cell>
          <cell r="E294" t="str">
            <v>CYP403CPP</v>
          </cell>
          <cell r="F294" t="str">
            <v>CHILD PROTECTION PLAN END DATE</v>
          </cell>
          <cell r="G294">
            <v>0</v>
          </cell>
          <cell r="H294">
            <v>293</v>
          </cell>
          <cell r="I294" t="str">
            <v>The date on which a child / young person is removed from a child protection plan</v>
          </cell>
          <cell r="J294" t="str">
            <v>an10
ccyy-mm-dd</v>
          </cell>
          <cell r="K294" t="str">
            <v>N/A</v>
          </cell>
          <cell r="L294" t="str">
            <v>Reject</v>
          </cell>
          <cell r="M294" t="str">
            <v>N/A</v>
          </cell>
          <cell r="N294" t="str">
            <v>If CPPCarePlanEndDate is populated and not within the reporting period, the record will be rejected.
If it is before the CPPCarePlanStartDate, the record will be rejected.</v>
          </cell>
          <cell r="O294" t="str">
            <v>All to analyse between the data item and other events</v>
          </cell>
          <cell r="P294" t="str">
            <v>To monitor details of children on a child protection plan</v>
          </cell>
          <cell r="Q294" t="str">
            <v>R</v>
          </cell>
          <cell r="R294">
            <v>4</v>
          </cell>
          <cell r="S294" t="str">
            <v>CYP40309 - Record rejected - Child Protection Plan End Date has incorrect date format. Local Patient Identifier (Extended)=&lt;C403901&gt;
CYP40313 - Record rejected - Child Protection Plan End Date is before the Child Protection Plan Start Date. Local Patient Identifier (Extended)=&lt;C403901&gt;
CYP40315 - Record rejected - Child Protection Plan End Date is before the start of the reporting period. Local Patient Identifier (Extended)=&lt;C403901&gt; Child Protection Plan End Date=&lt;C403030&gt;
CYP40316 - Record rejected - Child Protection Plan End Date is after the end of the reporting period. Local Patient Identifier (Extended)=&lt;C403901&gt; Child Protection Plan End Date=&lt;C403030&gt;</v>
          </cell>
        </row>
        <row r="295">
          <cell r="A295" t="str">
            <v>C403D01</v>
          </cell>
          <cell r="E295" t="str">
            <v>CYP403CPP</v>
          </cell>
          <cell r="F295" t="str">
            <v>RECORD NUMBER</v>
          </cell>
          <cell r="G295">
            <v>1</v>
          </cell>
          <cell r="H295">
            <v>294</v>
          </cell>
          <cell r="I295" t="str">
            <v>Record number in this extract file.</v>
          </cell>
          <cell r="J295" t="str">
            <v>max n6</v>
          </cell>
        </row>
        <row r="296">
          <cell r="A296" t="str">
            <v>C403D02</v>
          </cell>
          <cell r="E296" t="str">
            <v>CYP403CPP</v>
          </cell>
          <cell r="F296" t="str">
            <v>CYP403 UNIQUE ID</v>
          </cell>
          <cell r="G296">
            <v>1</v>
          </cell>
          <cell r="H296">
            <v>295</v>
          </cell>
          <cell r="I296" t="str">
            <v>A unique ID per table.  This continues across reporting periods and across providers.  This uniquely identifies a row of data within a table.</v>
          </cell>
          <cell r="J296" t="str">
            <v>min n6 max n20</v>
          </cell>
        </row>
        <row r="297">
          <cell r="A297" t="str">
            <v>C403D03</v>
          </cell>
          <cell r="E297" t="str">
            <v>CYP403CPP</v>
          </cell>
          <cell r="F297" t="str">
            <v>ORGANISATION CODE (PROVIDER)</v>
          </cell>
          <cell r="G297">
            <v>1</v>
          </cell>
          <cell r="H297">
            <v>296</v>
          </cell>
          <cell r="I297" t="str">
            <v>Organisation code of provider submitting the data.</v>
          </cell>
          <cell r="J297" t="str">
            <v>max an6</v>
          </cell>
        </row>
        <row r="298">
          <cell r="A298" t="str">
            <v>C403D04</v>
          </cell>
          <cell r="E298" t="str">
            <v>CYP403CPP</v>
          </cell>
          <cell r="F298" t="str">
            <v>UNIQUE CYPHS ID (PATIENT)</v>
          </cell>
          <cell r="G298">
            <v>1</v>
          </cell>
          <cell r="H298">
            <v>297</v>
          </cell>
          <cell r="I298" t="str">
            <v>A nationally unique ID for the patient in the CYPHS Data Set generated from an index held by the BSP.</v>
          </cell>
          <cell r="J298" t="str">
            <v>max n10</v>
          </cell>
        </row>
        <row r="299">
          <cell r="A299" t="str">
            <v>C403D05</v>
          </cell>
          <cell r="E299" t="str">
            <v>CYP403CPP</v>
          </cell>
          <cell r="F299" t="str">
            <v>BSP UNIQUE ID</v>
          </cell>
          <cell r="G299">
            <v>1</v>
          </cell>
          <cell r="H299">
            <v>298</v>
          </cell>
          <cell r="I299" t="str">
            <v xml:space="preserve">A unique ID applied when original data file was uploaded to the Bureau Service Portal. Where a single upload is used to provide data for different reporting periods, there will be a separate BSPUniqueID assigned to each reporting period.  </v>
          </cell>
          <cell r="J299" t="str">
            <v>max n6</v>
          </cell>
        </row>
        <row r="300">
          <cell r="A300" t="str">
            <v>C403D06</v>
          </cell>
          <cell r="E300" t="str">
            <v>CYP403CPP</v>
          </cell>
          <cell r="F300" t="str">
            <v>AGE AT CHILD PROTECTION PLAN START DATE</v>
          </cell>
          <cell r="G300">
            <v>1</v>
          </cell>
          <cell r="H300">
            <v>299</v>
          </cell>
          <cell r="I300" t="str">
            <v>Age at Child Protection Plan Start Date</v>
          </cell>
          <cell r="J300" t="str">
            <v>max n2</v>
          </cell>
        </row>
        <row r="301">
          <cell r="A301" t="str">
            <v>C403D07</v>
          </cell>
          <cell r="E301" t="str">
            <v>CYP403CPP</v>
          </cell>
          <cell r="F301" t="str">
            <v>AGE AT CHILD PROTECTION PLAN END DATE</v>
          </cell>
          <cell r="G301">
            <v>1</v>
          </cell>
          <cell r="H301">
            <v>300</v>
          </cell>
          <cell r="I301" t="str">
            <v>Age at Child Protection Plan End Date</v>
          </cell>
          <cell r="J301" t="str">
            <v>max n2</v>
          </cell>
        </row>
        <row r="302">
          <cell r="A302" t="str">
            <v>C403D08</v>
          </cell>
          <cell r="E302" t="str">
            <v>CYP403CPP</v>
          </cell>
          <cell r="F302" t="str">
            <v>TIME SPENT ON CHILD PROTECTION PLAN</v>
          </cell>
          <cell r="G302">
            <v>1</v>
          </cell>
          <cell r="H302">
            <v>301</v>
          </cell>
          <cell r="I302" t="str">
            <v>Time Spent on Child Protection Plan</v>
          </cell>
          <cell r="J302" t="str">
            <v>max n3</v>
          </cell>
        </row>
        <row r="303">
          <cell r="A303" t="str">
            <v>C404901</v>
          </cell>
          <cell r="B303" t="str">
            <v>C404</v>
          </cell>
          <cell r="C303" t="str">
            <v>901</v>
          </cell>
          <cell r="D303" t="str">
            <v>901_8</v>
          </cell>
          <cell r="E303" t="str">
            <v>CYP404AssTechToSupportDisTyp</v>
          </cell>
          <cell r="F303" t="str">
            <v>LOCAL PATIENT IDENTIFIER (EXTENDED)</v>
          </cell>
          <cell r="G303">
            <v>0</v>
          </cell>
          <cell r="H303">
            <v>302</v>
          </cell>
          <cell r="I303" t="str">
            <v>This is a number used to identify a PATIENT uniquely within a Health Care Provider. It may be different from the PATIENT's casenote number and may be assigned automatically by the computer system.</v>
          </cell>
          <cell r="J303" t="str">
            <v>max an20</v>
          </cell>
          <cell r="K303" t="str">
            <v>Reject</v>
          </cell>
          <cell r="L303" t="str">
            <v>Reject</v>
          </cell>
          <cell r="M303" t="str">
            <v>N/A</v>
          </cell>
          <cell r="O303" t="str">
            <v>All to identify individual</v>
          </cell>
          <cell r="P303" t="str">
            <v>Used to uniquely identify an individual</v>
          </cell>
          <cell r="Q303" t="str">
            <v>M</v>
          </cell>
          <cell r="R303">
            <v>2</v>
          </cell>
          <cell r="S303" t="str">
            <v>CYP40402 - Record rejected - Local Patient Identifier (Extended) is blank. 
CYP40403 - Record rejected - Local Patient Identifier (Extended) has incorrect data format. Local Patient Identifier (Extended)=&lt;C404901&gt;</v>
          </cell>
        </row>
        <row r="304">
          <cell r="A304" t="str">
            <v>C404010</v>
          </cell>
          <cell r="B304" t="str">
            <v>C404</v>
          </cell>
          <cell r="C304" t="str">
            <v>010</v>
          </cell>
          <cell r="D304" t="str">
            <v>C404010_1</v>
          </cell>
          <cell r="E304" t="str">
            <v>CYP404AssTechToSupportDisTyp</v>
          </cell>
          <cell r="F304" t="str">
            <v>ASSISTIVE TECHNOLOGY FINDING (SNOMED CT)</v>
          </cell>
          <cell r="G304">
            <v>0</v>
          </cell>
          <cell r="H304">
            <v>303</v>
          </cell>
          <cell r="I304" t="str">
            <v>The SNOMED CT concept ID which is used to identify the finding relating to the Assistive Technology that a PERSON is dependent on.</v>
          </cell>
          <cell r="J304" t="str">
            <v>min an6 max an18</v>
          </cell>
          <cell r="K304" t="str">
            <v>Reject</v>
          </cell>
          <cell r="L304" t="str">
            <v>Reject</v>
          </cell>
          <cell r="M304" t="str">
            <v>N/A</v>
          </cell>
          <cell r="N304" t="str">
            <v>If Assistive Technology Finding (SNOMED CT) contains an invalid Technology Type, then a warning will be generated.</v>
          </cell>
          <cell r="O304" t="str">
            <v>Used for analysis of data item</v>
          </cell>
          <cell r="P304" t="str">
            <v>To monitor data quality details of the technology type</v>
          </cell>
          <cell r="Q304" t="str">
            <v>M</v>
          </cell>
          <cell r="R304">
            <v>3</v>
          </cell>
          <cell r="S304" t="str">
            <v>CYP40404 - Record rejected - Assistive Technology Finding (SNOMED CT) is blank. Local Patient Identifier (Extended)=&lt;C404901&gt;
CYP40405 - Record rejected - Assistive Technology Finding (SNOMED CT) has incorrect data format. Local Patient Identifier (Extended)=&lt;C404901&gt;
CYP40406 - Warning - CYP404TechDepToSupportDisType contains an invalid Assistive Technology Finding (SNOMED CT). Local Patient Identifier=&lt;C404901&gt; Assistive Technology Finding (SNOMED CT)=&lt;C404010&gt;</v>
          </cell>
        </row>
        <row r="305">
          <cell r="A305" t="str">
            <v>C404020</v>
          </cell>
          <cell r="B305" t="str">
            <v>C404</v>
          </cell>
          <cell r="C305" t="str">
            <v>020</v>
          </cell>
          <cell r="D305" t="str">
            <v>C404020_1</v>
          </cell>
          <cell r="E305" t="str">
            <v>CYP404AssTechToSupportDisTyp</v>
          </cell>
          <cell r="F305" t="str">
            <v>PRESCRIPTION DATE (ASSISTIVE TECHNOLOGY)</v>
          </cell>
          <cell r="G305">
            <v>0</v>
          </cell>
          <cell r="H305">
            <v>304</v>
          </cell>
          <cell r="I305" t="str">
            <v>The date when a person is prescribed a specific type of assistive technology.</v>
          </cell>
          <cell r="J305" t="str">
            <v>an10
ccyy-mm-dd</v>
          </cell>
          <cell r="K305" t="str">
            <v>N/A</v>
          </cell>
          <cell r="L305" t="str">
            <v>Reject</v>
          </cell>
          <cell r="M305" t="str">
            <v>N/A</v>
          </cell>
          <cell r="O305" t="str">
            <v>All to analyse between the data item and other events</v>
          </cell>
          <cell r="P305" t="str">
            <v>To monitor details of the technology</v>
          </cell>
          <cell r="Q305" t="str">
            <v>R</v>
          </cell>
          <cell r="R305">
            <v>1</v>
          </cell>
          <cell r="S305" t="str">
            <v>CYP40408 - Record rejected - Prescription Date (Assistive Technology) has incorrect data format. Local Patient Identifier (Extended)=&lt;C404901&gt;</v>
          </cell>
        </row>
        <row r="306">
          <cell r="A306" t="str">
            <v>C404D01</v>
          </cell>
          <cell r="E306" t="str">
            <v>CYP404AssTechToSupportDisTyp</v>
          </cell>
          <cell r="F306" t="str">
            <v>RECORD NUMBER</v>
          </cell>
          <cell r="G306">
            <v>1</v>
          </cell>
          <cell r="H306">
            <v>305</v>
          </cell>
          <cell r="I306" t="str">
            <v>Record number in this extract file.</v>
          </cell>
          <cell r="J306" t="str">
            <v>max n6</v>
          </cell>
        </row>
        <row r="307">
          <cell r="A307" t="str">
            <v>C404D02</v>
          </cell>
          <cell r="E307" t="str">
            <v>CYP404AssTechToSupportDisTyp</v>
          </cell>
          <cell r="F307" t="str">
            <v>CYP404 UNIQUE ID</v>
          </cell>
          <cell r="G307">
            <v>1</v>
          </cell>
          <cell r="H307">
            <v>306</v>
          </cell>
          <cell r="I307" t="str">
            <v>A unique ID per table.  This continues across reporting periods and across providers.  This uniquely identifies a row of data within a table.</v>
          </cell>
          <cell r="J307" t="str">
            <v>min n6 max n20</v>
          </cell>
        </row>
        <row r="308">
          <cell r="A308" t="str">
            <v>C404D03</v>
          </cell>
          <cell r="E308" t="str">
            <v>CYP404AssTechToSupportDisTyp</v>
          </cell>
          <cell r="F308" t="str">
            <v>ORGANISATION CODE (PROVIDER)</v>
          </cell>
          <cell r="G308">
            <v>1</v>
          </cell>
          <cell r="H308">
            <v>307</v>
          </cell>
          <cell r="I308" t="str">
            <v>Organisation code of provider submitting the data.</v>
          </cell>
          <cell r="J308" t="str">
            <v>max an6</v>
          </cell>
        </row>
        <row r="309">
          <cell r="A309" t="str">
            <v>C404D04</v>
          </cell>
          <cell r="E309" t="str">
            <v>CYP404AssTechToSupportDisTyp</v>
          </cell>
          <cell r="F309" t="str">
            <v>UNIQUE CYPHS ID (PATIENT)</v>
          </cell>
          <cell r="G309">
            <v>1</v>
          </cell>
          <cell r="H309">
            <v>308</v>
          </cell>
          <cell r="I309" t="str">
            <v>A nationally unique ID for the patient in the CYPHS Data Set generated from an index held by the BSP.</v>
          </cell>
          <cell r="J309" t="str">
            <v>max n10</v>
          </cell>
        </row>
        <row r="310">
          <cell r="A310" t="str">
            <v>C404D05</v>
          </cell>
          <cell r="E310" t="str">
            <v>CYP404AssTechToSupportDisTyp</v>
          </cell>
          <cell r="F310" t="str">
            <v>BSP UNIQUE ID</v>
          </cell>
          <cell r="G310">
            <v>1</v>
          </cell>
          <cell r="H310">
            <v>309</v>
          </cell>
          <cell r="I310" t="str">
            <v xml:space="preserve">A unique ID applied when original data file was uploaded to the Bureau Service Portal. Where a single upload is used to provide data for different reporting periods, there will be a separate BSPUniqueID assigned to each reporting period.  </v>
          </cell>
          <cell r="J310" t="str">
            <v>max n6</v>
          </cell>
        </row>
        <row r="311">
          <cell r="A311" t="str">
            <v>C501901</v>
          </cell>
          <cell r="B311" t="str">
            <v>C501</v>
          </cell>
          <cell r="C311" t="str">
            <v>901</v>
          </cell>
          <cell r="D311" t="str">
            <v>901_9</v>
          </cell>
          <cell r="E311" t="str">
            <v>CYP501CodedImm</v>
          </cell>
          <cell r="F311" t="str">
            <v>LOCAL PATIENT IDENTIFIER (EXTENDED)</v>
          </cell>
          <cell r="G311">
            <v>0</v>
          </cell>
          <cell r="H311">
            <v>310</v>
          </cell>
          <cell r="I311" t="str">
            <v>This is a number used to identify a PATIENT uniquely within a Health Care Provider. It may be different from the PATIENT's casenote number and may be assigned automatically by the computer system.</v>
          </cell>
          <cell r="J311" t="str">
            <v>max an20</v>
          </cell>
          <cell r="K311" t="str">
            <v>Reject</v>
          </cell>
          <cell r="L311" t="str">
            <v>Reject</v>
          </cell>
          <cell r="M311" t="str">
            <v>N/A</v>
          </cell>
          <cell r="O311" t="str">
            <v>All to identify individual</v>
          </cell>
          <cell r="P311" t="str">
            <v>Used to uniquely identify an individual</v>
          </cell>
          <cell r="Q311" t="str">
            <v>M</v>
          </cell>
          <cell r="R311">
            <v>2</v>
          </cell>
          <cell r="S311" t="str">
            <v>CYP50103 - Record rejected - Local Patient Identifier (Extended) is blank. 
CYP50104 - Record rejected - Local Patient Identifier (Extended) has incorrect data format. Local Patient Identifier (Extended)=&lt;C501901&gt;</v>
          </cell>
        </row>
        <row r="312">
          <cell r="A312" t="str">
            <v>C501907</v>
          </cell>
          <cell r="B312" t="str">
            <v>C501</v>
          </cell>
          <cell r="C312" t="str">
            <v>907</v>
          </cell>
          <cell r="D312" t="str">
            <v>907_1</v>
          </cell>
          <cell r="E312" t="str">
            <v>CYP501CodedImm</v>
          </cell>
          <cell r="F312" t="str">
            <v>IMMUNISATION DATE</v>
          </cell>
          <cell r="G312">
            <v>0</v>
          </cell>
          <cell r="H312">
            <v>311</v>
          </cell>
          <cell r="I312" t="str">
            <v>The date on which the immunisation was carried out</v>
          </cell>
          <cell r="J312" t="str">
            <v>an10
ccyy-mm-dd</v>
          </cell>
          <cell r="K312" t="str">
            <v>Reject</v>
          </cell>
          <cell r="L312" t="str">
            <v>Reject</v>
          </cell>
          <cell r="M312" t="str">
            <v>N/A</v>
          </cell>
          <cell r="N312" t="str">
            <v>If ImmunisationDate is after the end of the reporting period, the record will be rejected.
If ImmunisationDate is before the patient's DATE OF BIRTH (as included in CYP001), the record will be rejected</v>
          </cell>
          <cell r="O312" t="str">
            <v>All to analyse between the data item and other events</v>
          </cell>
          <cell r="P312" t="str">
            <v>Analysis of times differences</v>
          </cell>
          <cell r="Q312" t="str">
            <v>M</v>
          </cell>
          <cell r="R312">
            <v>4</v>
          </cell>
          <cell r="S312" t="str">
            <v xml:space="preserve">CYP50105 - Record rejected - Immunisation Date is blank. Local Patient Identifier (Extended)=&lt;C501901&gt;
CYP50106 - Record rejected - Immunisation Date has incorrect date format. Local Patient Identifier (Extended)=&lt;C501901&gt;
CYP50107 - Record rejected - Immunisation Date is before the Person Birth Date. Local Patient Identifier (Extended)=&lt;C501901&gt; Immunisation Date=&lt;C501907&gt; 
CYP50108 - Record rejected - Immunisation Date is after the end of the reporting period. Local Patient Identifier (Extended)=&lt;C501901&gt; Immunisation Date=&lt;C501907&gt; </v>
          </cell>
        </row>
        <row r="313">
          <cell r="A313" t="str">
            <v>C501010</v>
          </cell>
          <cell r="B313" t="str">
            <v>C501</v>
          </cell>
          <cell r="C313" t="str">
            <v>010</v>
          </cell>
          <cell r="D313" t="str">
            <v>C501010_1</v>
          </cell>
          <cell r="E313" t="str">
            <v>CYP501CodedImm</v>
          </cell>
          <cell r="F313" t="str">
            <v>PROCEDURE SCHEME IN USE</v>
          </cell>
          <cell r="G313">
            <v>0</v>
          </cell>
          <cell r="H313">
            <v>312</v>
          </cell>
          <cell r="I313" t="str">
            <v>The code scheme basis of a procedure.</v>
          </cell>
          <cell r="J313" t="str">
            <v>an2</v>
          </cell>
          <cell r="K313" t="str">
            <v>Reject</v>
          </cell>
          <cell r="L313" t="str">
            <v>Reject</v>
          </cell>
          <cell r="M313" t="str">
            <v>Warning</v>
          </cell>
          <cell r="O313" t="str">
            <v>All for analysis of the data item</v>
          </cell>
          <cell r="P313" t="str">
            <v>Required for reporting on data quality differences between coding schemes</v>
          </cell>
          <cell r="Q313" t="str">
            <v>M</v>
          </cell>
          <cell r="R313">
            <v>3</v>
          </cell>
          <cell r="S313" t="str">
            <v>CYP50112 - Record rejected - Procedure Scheme In Use contains an invalid Procedure Scheme In Use. Local Patient Identifier (Extended)=&lt;C501901&gt; Procedure Scheme In Use=&lt;C501010&gt;
CYP50109 - Record rejected - Procedure Scheme In Use has incorrect data format. Local Patient Identifier (Extended)=&lt;C501901&gt; 
CYP50116 - Record rejected - Procedure Scheme in use is blank. Local Patient Identifier (Extended) = &lt;C501901&gt;</v>
          </cell>
        </row>
        <row r="314">
          <cell r="A314" t="str">
            <v>C501020</v>
          </cell>
          <cell r="B314" t="str">
            <v>C501</v>
          </cell>
          <cell r="C314" t="str">
            <v>020</v>
          </cell>
          <cell r="D314" t="str">
            <v>C501020_1</v>
          </cell>
          <cell r="E314" t="str">
            <v>CYP501CodedImm</v>
          </cell>
          <cell r="F314" t="str">
            <v>IMMUNISATION PROCEDURE (CLINICAL TERMINOLOGY)</v>
          </cell>
          <cell r="G314">
            <v>0</v>
          </cell>
          <cell r="H314">
            <v>313</v>
          </cell>
          <cell r="I314" t="str">
            <v>A unique identifier for an immunisation from a specific clinical terminology</v>
          </cell>
          <cell r="J314" t="str">
            <v>min an5 max an18</v>
          </cell>
          <cell r="K314" t="str">
            <v>Reject</v>
          </cell>
          <cell r="L314" t="str">
            <v>Reject</v>
          </cell>
          <cell r="M314" t="str">
            <v>N/A</v>
          </cell>
          <cell r="O314" t="str">
            <v>All for analysis of the data item</v>
          </cell>
          <cell r="P314" t="str">
            <v>The analyse differences in the outcomes and activity depending on immunisation procedure</v>
          </cell>
          <cell r="Q314" t="str">
            <v>M</v>
          </cell>
          <cell r="R314">
            <v>2</v>
          </cell>
          <cell r="S314" t="str">
            <v>CYP50113 - Record rejected - Immunisation Procedure (Clinical Terminology) is blank. Local Patient Identifier (Extended)=&lt;C501901&gt;
CYP50114 - Record rejected - Immunisation Procedure (Clinical Terminology) has incorrect data format. Local Patient Identifier (Extended)=&lt;C501901&gt; Immunisation Procedure (Clinical Terminology) = &lt;C501020&gt;</v>
          </cell>
        </row>
        <row r="315">
          <cell r="A315" t="str">
            <v>C501908</v>
          </cell>
          <cell r="B315" t="str">
            <v>C501</v>
          </cell>
          <cell r="C315" t="str">
            <v>908</v>
          </cell>
          <cell r="D315" t="str">
            <v>908_1</v>
          </cell>
          <cell r="E315" t="str">
            <v>CYP501CodedImm</v>
          </cell>
          <cell r="F315" t="str">
            <v>ORGANISATION CODE (IMMUNISATION RESPONSIBLE ORGANISATION)</v>
          </cell>
          <cell r="G315">
            <v>0</v>
          </cell>
          <cell r="H315">
            <v>314</v>
          </cell>
          <cell r="I315" t="str">
            <v>The ORGANISATION CODE of the ORGANISATION carrying out the immunisation.</v>
          </cell>
          <cell r="J315" t="str">
            <v>max an6</v>
          </cell>
          <cell r="K315" t="str">
            <v>N/A</v>
          </cell>
          <cell r="L315" t="str">
            <v>Reject</v>
          </cell>
          <cell r="M315" t="str">
            <v>Warning</v>
          </cell>
          <cell r="N315" t="str">
            <v>If ORGANISATION CODE is not in national organisation tables a warning will be reported</v>
          </cell>
          <cell r="O315" t="str">
            <v>Used for analysis of data item</v>
          </cell>
          <cell r="P315" t="str">
            <v>Required for reporting on Care Activities, Performance and Pricing</v>
          </cell>
          <cell r="Q315" t="str">
            <v>R</v>
          </cell>
          <cell r="R315">
            <v>2</v>
          </cell>
          <cell r="S315" t="str">
            <v>CYP50110 - Record rejected - Organisation Code (Immunisation Responsible Organisation) has incorrect data format. Local Patient Identifier (Extended)=&lt;C501901&gt;
CYP50111 - Warning - Organisation Code (Immunisation Responsible Organisation) is not for a current live organisation in national tables. Local Patient Identifier (Extended)=&lt;C501901&gt;</v>
          </cell>
        </row>
        <row r="316">
          <cell r="A316" t="str">
            <v>C501D01</v>
          </cell>
          <cell r="E316" t="str">
            <v>CYP501CodedImm</v>
          </cell>
          <cell r="F316" t="str">
            <v>RECORD NUMBER</v>
          </cell>
          <cell r="G316">
            <v>1</v>
          </cell>
          <cell r="H316">
            <v>315</v>
          </cell>
          <cell r="I316" t="str">
            <v>Record number in this extract file.</v>
          </cell>
          <cell r="J316" t="str">
            <v>max n6</v>
          </cell>
        </row>
        <row r="317">
          <cell r="A317" t="str">
            <v>C501D02</v>
          </cell>
          <cell r="E317" t="str">
            <v>CYP501CodedImm</v>
          </cell>
          <cell r="F317" t="str">
            <v>CYP501 UNIQUE ID</v>
          </cell>
          <cell r="G317">
            <v>1</v>
          </cell>
          <cell r="H317">
            <v>316</v>
          </cell>
          <cell r="I317" t="str">
            <v>A unique ID per table.  This continues across reporting periods and across providers.  This uniquely identifies a row of data within a table.</v>
          </cell>
          <cell r="J317" t="str">
            <v>min n6 max n20</v>
          </cell>
        </row>
        <row r="318">
          <cell r="A318" t="str">
            <v>C501D03</v>
          </cell>
          <cell r="E318" t="str">
            <v>CYP501CodedImm</v>
          </cell>
          <cell r="F318" t="str">
            <v>ORGANISATION CODE (PROVIDER)</v>
          </cell>
          <cell r="G318">
            <v>1</v>
          </cell>
          <cell r="H318">
            <v>317</v>
          </cell>
          <cell r="I318" t="str">
            <v>Organisation code of provider submitting the data.</v>
          </cell>
          <cell r="J318" t="str">
            <v>max an6</v>
          </cell>
        </row>
        <row r="319">
          <cell r="A319" t="str">
            <v>C501D04</v>
          </cell>
          <cell r="E319" t="str">
            <v>CYP501CodedImm</v>
          </cell>
          <cell r="F319" t="str">
            <v>UNIQUE CYPHS ID (PATIENT)</v>
          </cell>
          <cell r="G319">
            <v>1</v>
          </cell>
          <cell r="H319">
            <v>318</v>
          </cell>
          <cell r="I319" t="str">
            <v>A nationally unique ID for the patient in the CYPHS Data Set generated from an index held by the BSP.</v>
          </cell>
          <cell r="J319" t="str">
            <v>max n10</v>
          </cell>
        </row>
        <row r="320">
          <cell r="A320" t="str">
            <v>C501D05</v>
          </cell>
          <cell r="E320" t="str">
            <v>CYP501CodedImm</v>
          </cell>
          <cell r="F320" t="str">
            <v>BSP UNIQUE ID</v>
          </cell>
          <cell r="G320">
            <v>1</v>
          </cell>
          <cell r="H320">
            <v>319</v>
          </cell>
          <cell r="I320" t="str">
            <v xml:space="preserve">A unique ID applied when original data file was uploaded to the Bureau Service Portal. Where a single upload is used to provide data for different reporting periods, there will be a separate BSPUniqueID assigned to each reporting period.  </v>
          </cell>
          <cell r="J320" t="str">
            <v>max n6</v>
          </cell>
        </row>
        <row r="321">
          <cell r="A321" t="str">
            <v>C501D06</v>
          </cell>
          <cell r="E321" t="str">
            <v>CYP501CodedImm</v>
          </cell>
          <cell r="F321" t="str">
            <v>AGE AT IMMUNISATION DATE</v>
          </cell>
          <cell r="G321">
            <v>1</v>
          </cell>
          <cell r="H321">
            <v>320</v>
          </cell>
          <cell r="I321" t="str">
            <v>Age at Immunisation Date</v>
          </cell>
          <cell r="J321" t="str">
            <v>max n2</v>
          </cell>
        </row>
        <row r="322">
          <cell r="A322" t="str">
            <v>C501D07</v>
          </cell>
          <cell r="E322" t="str">
            <v>CYP501CodedImm</v>
          </cell>
          <cell r="F322" t="str">
            <v>SCHOOL YEAR AT IMMUNISATION DATE</v>
          </cell>
          <cell r="G322">
            <v>1</v>
          </cell>
          <cell r="H322">
            <v>321</v>
          </cell>
          <cell r="I322" t="str">
            <v>School Year at Immunisation Date should be recorded whether the young person is at school or not.</v>
          </cell>
          <cell r="J322" t="str">
            <v>max an2</v>
          </cell>
        </row>
        <row r="323">
          <cell r="A323" t="str">
            <v>C502901</v>
          </cell>
          <cell r="B323" t="str">
            <v>C502</v>
          </cell>
          <cell r="C323" t="str">
            <v>901</v>
          </cell>
          <cell r="D323" t="str">
            <v>901_10</v>
          </cell>
          <cell r="E323" t="str">
            <v>CYP502Imm</v>
          </cell>
          <cell r="F323" t="str">
            <v>LOCAL PATIENT IDENTIFIER (EXTENDED)</v>
          </cell>
          <cell r="G323">
            <v>0</v>
          </cell>
          <cell r="H323">
            <v>322</v>
          </cell>
          <cell r="I323" t="str">
            <v>This is a number used to identify a PATIENT uniquely within a Health Care Provider. It may be different from the PATIENT's casenote number and may be assigned automatically by the computer system.</v>
          </cell>
          <cell r="J323" t="str">
            <v>max an20</v>
          </cell>
          <cell r="K323" t="str">
            <v>Reject</v>
          </cell>
          <cell r="L323" t="str">
            <v>Reject</v>
          </cell>
          <cell r="M323" t="str">
            <v>N/A</v>
          </cell>
          <cell r="O323" t="str">
            <v>All to identify individual</v>
          </cell>
          <cell r="P323" t="str">
            <v>Used to uniquely identify an individual</v>
          </cell>
          <cell r="Q323" t="str">
            <v>M</v>
          </cell>
          <cell r="R323">
            <v>2</v>
          </cell>
          <cell r="S323" t="str">
            <v>CYP50203 - Record rejected - Local Patient Identifier (Extended) is blank.
CYP50204 - Record rejected - Local Patient Identifier (Extended) has incorrect data format. Local Patient Identifier (Extended)=&lt;C502901&gt;</v>
          </cell>
        </row>
        <row r="324">
          <cell r="A324" t="str">
            <v>C502907</v>
          </cell>
          <cell r="B324" t="str">
            <v>C502</v>
          </cell>
          <cell r="C324" t="str">
            <v>907</v>
          </cell>
          <cell r="D324" t="str">
            <v>907_2</v>
          </cell>
          <cell r="E324" t="str">
            <v>CYP502Imm</v>
          </cell>
          <cell r="F324" t="str">
            <v>IMMUNISATION DATE</v>
          </cell>
          <cell r="G324">
            <v>0</v>
          </cell>
          <cell r="H324">
            <v>323</v>
          </cell>
          <cell r="I324" t="str">
            <v>The date on which the immunisation was carried out</v>
          </cell>
          <cell r="J324" t="str">
            <v>an10
ccyy-mm-dd</v>
          </cell>
          <cell r="K324" t="str">
            <v>Reject</v>
          </cell>
          <cell r="L324" t="str">
            <v>Reject</v>
          </cell>
          <cell r="M324" t="str">
            <v>N/A</v>
          </cell>
          <cell r="O324" t="str">
            <v>All to analyse between the data item and other events</v>
          </cell>
          <cell r="P324" t="str">
            <v>Analysis of times differences</v>
          </cell>
          <cell r="Q324" t="str">
            <v>M</v>
          </cell>
          <cell r="R324">
            <v>2</v>
          </cell>
          <cell r="S324" t="str">
            <v>CYP50208 - Record rejected - Immunisation Date is blank. Local Patient Identifier (Extended)=&lt;C502901&gt;
CYP50209 - Record rejected - Immunisation Date has incorrect data format. Local Patient Identifier (Extended)=&lt;C502901&gt;</v>
          </cell>
        </row>
        <row r="325">
          <cell r="A325" t="str">
            <v>C502908</v>
          </cell>
          <cell r="B325" t="str">
            <v>C502</v>
          </cell>
          <cell r="C325" t="str">
            <v>908</v>
          </cell>
          <cell r="D325" t="str">
            <v>908_2</v>
          </cell>
          <cell r="E325" t="str">
            <v>CYP502Imm</v>
          </cell>
          <cell r="F325" t="str">
            <v>ORGANISATION CODE (IMMUNISATION RESPONSIBLE ORGANISATION)</v>
          </cell>
          <cell r="G325">
            <v>0</v>
          </cell>
          <cell r="H325">
            <v>324</v>
          </cell>
          <cell r="I325" t="str">
            <v>The ORGANISATION CODE of the ORGANISATION carrying out the immunisation.</v>
          </cell>
          <cell r="J325" t="str">
            <v>max an6</v>
          </cell>
          <cell r="K325" t="str">
            <v>N/A</v>
          </cell>
          <cell r="L325" t="str">
            <v>Reject</v>
          </cell>
          <cell r="M325" t="str">
            <v>Warning</v>
          </cell>
          <cell r="N325" t="str">
            <v>If ORGANISATION CODE is not in national organisation tables a warning will be reported</v>
          </cell>
          <cell r="O325" t="str">
            <v>Used for analysis of data item</v>
          </cell>
          <cell r="P325" t="str">
            <v>Required for reporting on Care Activities, Performance and Pricing</v>
          </cell>
          <cell r="Q325" t="str">
            <v>R</v>
          </cell>
          <cell r="R325">
            <v>2</v>
          </cell>
          <cell r="S325" t="str">
            <v>CYP50210 - Record rejected - Organisation Code (Immunisation Responsible Organisation) has incorrect data format. Local Patient Identifier (Extended)=&lt;C502901&gt;
CYP50211 - Warning - Organisation Code (Immunisation Responsible Organisation) is not for a current live organisation in national tables. Local Patient Identifier (Extended)=&lt;C502901&gt;</v>
          </cell>
        </row>
        <row r="326">
          <cell r="A326" t="str">
            <v>C502010</v>
          </cell>
          <cell r="B326" t="str">
            <v>C502</v>
          </cell>
          <cell r="C326" t="str">
            <v>010</v>
          </cell>
          <cell r="D326" t="str">
            <v>C502010_1</v>
          </cell>
          <cell r="E326" t="str">
            <v>CYP502Imm</v>
          </cell>
          <cell r="F326" t="str">
            <v>CHILDHOOD IMMUNISATION TYPE (CHILDREN AND YOUNG PEOPLE'S HEALTH SERVICES)</v>
          </cell>
          <cell r="G326">
            <v>0</v>
          </cell>
          <cell r="H326">
            <v>325</v>
          </cell>
          <cell r="I326" t="str">
            <v>Whether or not a child's immunisations are up to date, derived from Red Book 2009</v>
          </cell>
          <cell r="J326" t="str">
            <v>an3</v>
          </cell>
          <cell r="K326" t="str">
            <v>Reject</v>
          </cell>
          <cell r="L326" t="str">
            <v>Reject</v>
          </cell>
          <cell r="M326" t="str">
            <v>Warning</v>
          </cell>
          <cell r="O326" t="str">
            <v>All for analysis of the data item</v>
          </cell>
          <cell r="P326" t="str">
            <v>The analyse differences in the outcomes and activity depending on immunisation type</v>
          </cell>
          <cell r="Q326" t="str">
            <v>M</v>
          </cell>
          <cell r="R326">
            <v>3</v>
          </cell>
          <cell r="S326" t="str">
            <v>CYP50205 - Record rejected - Childhood Immunisation Type (Children and Young People's Health Services) is blank. Local Patient Identifier (Extended)=&lt;C502901&gt;
CYP50206 - Record rejected - Childhood Immunisation Type (Children and Young People's Health Services) has incorrect data format. Local Patient Identifier (Extended)=&lt;C502901&gt;
CYP50207 - Warning - Childhood Immunisation Type (Children and Young People's Health Services) contains an invalid Childhood Immunisation Type (Children and Young People's Health Services). Local Patient Identifier (Extended)=&lt;C502901&gt; Childhood Immunisation Type (Children and Young People's Health Services)=&lt;C502010&gt;</v>
          </cell>
        </row>
        <row r="327">
          <cell r="A327" t="str">
            <v>C502D01</v>
          </cell>
          <cell r="E327" t="str">
            <v>CYP502Imm</v>
          </cell>
          <cell r="F327" t="str">
            <v>RECORD NUMBER</v>
          </cell>
          <cell r="G327">
            <v>1</v>
          </cell>
          <cell r="H327">
            <v>326</v>
          </cell>
          <cell r="I327" t="str">
            <v>Record number in this extract file.</v>
          </cell>
          <cell r="J327" t="str">
            <v>max n6</v>
          </cell>
        </row>
        <row r="328">
          <cell r="A328" t="str">
            <v>C502D02</v>
          </cell>
          <cell r="E328" t="str">
            <v>CYP502Imm</v>
          </cell>
          <cell r="F328" t="str">
            <v>CYP502 UNIQUE ID</v>
          </cell>
          <cell r="G328">
            <v>1</v>
          </cell>
          <cell r="H328">
            <v>327</v>
          </cell>
          <cell r="I328" t="str">
            <v>A unique ID per table.  This continues across reporting periods and across providers.  This uniquely identifies a row of data within a table.</v>
          </cell>
          <cell r="J328" t="str">
            <v>min n6 max n20</v>
          </cell>
        </row>
        <row r="329">
          <cell r="A329" t="str">
            <v>C502D03</v>
          </cell>
          <cell r="E329" t="str">
            <v>CYP502Imm</v>
          </cell>
          <cell r="F329" t="str">
            <v>ORGANISATION CODE (PROVIDER)</v>
          </cell>
          <cell r="G329">
            <v>1</v>
          </cell>
          <cell r="H329">
            <v>328</v>
          </cell>
          <cell r="I329" t="str">
            <v>Organisation code of provider submitting the data.</v>
          </cell>
          <cell r="J329" t="str">
            <v>max an6</v>
          </cell>
        </row>
        <row r="330">
          <cell r="A330" t="str">
            <v>C502D04</v>
          </cell>
          <cell r="E330" t="str">
            <v>CYP502Imm</v>
          </cell>
          <cell r="F330" t="str">
            <v>UNIQUE CYPHS ID (PATIENT)</v>
          </cell>
          <cell r="G330">
            <v>1</v>
          </cell>
          <cell r="H330">
            <v>329</v>
          </cell>
          <cell r="I330" t="str">
            <v>A nationally unique ID for the patient in the CYPHS Data Set generated from an index held by the BSP.</v>
          </cell>
          <cell r="J330" t="str">
            <v>max n10</v>
          </cell>
        </row>
        <row r="331">
          <cell r="A331" t="str">
            <v>C502D05</v>
          </cell>
          <cell r="E331" t="str">
            <v>CYP502Imm</v>
          </cell>
          <cell r="F331" t="str">
            <v>BSP UNIQUE ID</v>
          </cell>
          <cell r="G331">
            <v>1</v>
          </cell>
          <cell r="H331">
            <v>330</v>
          </cell>
          <cell r="I331" t="str">
            <v xml:space="preserve">A unique ID applied when original data file was uploaded to the Bureau Service Portal. Where a single upload is used to provide data for different reporting periods, there will be a separate BSPUniqueID assigned to each reporting period.  </v>
          </cell>
          <cell r="J331" t="str">
            <v>max n6</v>
          </cell>
        </row>
        <row r="332">
          <cell r="A332" t="str">
            <v>C502D06</v>
          </cell>
          <cell r="E332" t="str">
            <v>CYP502Imm</v>
          </cell>
          <cell r="F332" t="str">
            <v>AGE AT IMMUNISATION DATE</v>
          </cell>
          <cell r="G332">
            <v>1</v>
          </cell>
          <cell r="H332">
            <v>331</v>
          </cell>
          <cell r="I332" t="str">
            <v>Age at Immunisation Date</v>
          </cell>
          <cell r="J332" t="str">
            <v>max n2</v>
          </cell>
        </row>
        <row r="333">
          <cell r="A333" t="str">
            <v>C502D07</v>
          </cell>
          <cell r="E333" t="str">
            <v>CYP502Imm</v>
          </cell>
          <cell r="F333" t="str">
            <v>SCHOOL YEAR AT IMMUNISATION DATE</v>
          </cell>
          <cell r="G333">
            <v>1</v>
          </cell>
          <cell r="H333">
            <v>332</v>
          </cell>
          <cell r="I333" t="str">
            <v>School Year at Immunisation Date should be recorded whether the young person is at school or not.</v>
          </cell>
          <cell r="J333" t="str">
            <v>max an2</v>
          </cell>
        </row>
        <row r="334">
          <cell r="A334" t="str">
            <v>C601901</v>
          </cell>
          <cell r="B334" t="str">
            <v>C601</v>
          </cell>
          <cell r="C334" t="str">
            <v>901</v>
          </cell>
          <cell r="D334" t="str">
            <v>901_11</v>
          </cell>
          <cell r="E334" t="str">
            <v>CYP601MedicalHistory</v>
          </cell>
          <cell r="F334" t="str">
            <v>LOCAL PATIENT IDENTIFIER (EXTENDED)</v>
          </cell>
          <cell r="G334">
            <v>0</v>
          </cell>
          <cell r="H334">
            <v>333</v>
          </cell>
          <cell r="I334" t="str">
            <v>This is a number used to identify a PATIENT uniquely within a Health Care Provider. It may be different from the PATIENT's casenote number and may be assigned automatically by the computer system.</v>
          </cell>
          <cell r="J334" t="str">
            <v>max an20</v>
          </cell>
          <cell r="K334" t="str">
            <v>Reject</v>
          </cell>
          <cell r="L334" t="str">
            <v>Reject</v>
          </cell>
          <cell r="M334" t="str">
            <v>N/A</v>
          </cell>
          <cell r="O334" t="str">
            <v>All to identify individual</v>
          </cell>
          <cell r="P334" t="str">
            <v>Used to uniquely identify an individual</v>
          </cell>
          <cell r="Q334" t="str">
            <v>M</v>
          </cell>
          <cell r="R334">
            <v>2</v>
          </cell>
          <cell r="S334" t="str">
            <v>CYP60102 - Record rejected - Local Patient Identifier (Extended) is blank. 
CYP60103 - Record rejected - Local Patient Identifier (Extended) has incorrect data format. Local Patient Identifier (Extended)=&lt;C601901&gt;</v>
          </cell>
        </row>
        <row r="335">
          <cell r="A335" t="str">
            <v>C601913</v>
          </cell>
          <cell r="B335" t="str">
            <v>C601</v>
          </cell>
          <cell r="C335" t="str">
            <v>913</v>
          </cell>
          <cell r="D335" t="str">
            <v>913_1</v>
          </cell>
          <cell r="E335" t="str">
            <v>CYP601MedicalHistory</v>
          </cell>
          <cell r="F335" t="str">
            <v>DIAGNOSIS SCHEME IN USE</v>
          </cell>
          <cell r="G335">
            <v>0</v>
          </cell>
          <cell r="H335">
            <v>334</v>
          </cell>
          <cell r="I335" t="str">
            <v>The code scheme basis of the Diagnosis.</v>
          </cell>
          <cell r="J335" t="str">
            <v>an2</v>
          </cell>
          <cell r="K335" t="str">
            <v>Reject</v>
          </cell>
          <cell r="L335" t="str">
            <v>Reject</v>
          </cell>
          <cell r="M335" t="str">
            <v>Warning</v>
          </cell>
          <cell r="N335" t="str">
            <v xml:space="preserve">
</v>
          </cell>
          <cell r="O335" t="str">
            <v>Used for analysis of data item</v>
          </cell>
          <cell r="P335" t="str">
            <v>To monitor data quality details of the diagnosis scheme</v>
          </cell>
          <cell r="Q335" t="str">
            <v>M</v>
          </cell>
          <cell r="R335">
            <v>3</v>
          </cell>
          <cell r="S335" t="str">
            <v>CYP60111 - Record rejected - Diagnosis Scheme In Use is blank. Local Patient Identifier (Extended)=&lt;C601901&gt;
CYP60104 - Record rejected - Diagnosis Scheme In Use has incorrect data format. Local Patient Identifier (Extended)=&lt;C601901&gt;
CYP60105 - Warning - Diagnosis Scheme In Use contains an invalid Diagnosis Scheme In Use. Local Patient Identifier (Extended)=&lt;C601901&gt; Diagnosis Scheme In Use=&lt;C601913&gt;</v>
          </cell>
        </row>
        <row r="336">
          <cell r="A336" t="str">
            <v>C601010</v>
          </cell>
          <cell r="B336" t="str">
            <v>C601</v>
          </cell>
          <cell r="C336" t="str">
            <v>010</v>
          </cell>
          <cell r="D336" t="str">
            <v>C601010_1</v>
          </cell>
          <cell r="E336" t="str">
            <v>CYP601MedicalHistory</v>
          </cell>
          <cell r="F336" t="str">
            <v>PREVIOUS DIAGNOSIS (CODED CLINICAL ENTRY)</v>
          </cell>
          <cell r="G336">
            <v>0</v>
          </cell>
          <cell r="H336">
            <v>335</v>
          </cell>
          <cell r="I336" t="str">
            <v>A unique identifier for a CLINICAL DIAGNOSIS from a specific classification or clinical terminology.</v>
          </cell>
          <cell r="J336" t="str">
            <v>min an4 max an18</v>
          </cell>
          <cell r="K336" t="str">
            <v>Reject</v>
          </cell>
          <cell r="L336" t="str">
            <v>Reject</v>
          </cell>
          <cell r="M336" t="str">
            <v>N/A</v>
          </cell>
          <cell r="O336" t="str">
            <v>All for analysis of the data item</v>
          </cell>
          <cell r="P336" t="str">
            <v>The analyse differences in the outcomes and activity depending on previous diagnosis</v>
          </cell>
          <cell r="Q336" t="str">
            <v>M</v>
          </cell>
          <cell r="R336">
            <v>2</v>
          </cell>
          <cell r="S336" t="str">
            <v>CYP60106 - Record rejected - Previous Diagnosis (Coded Clinical Entry) is blank. Local Patient Identifier (Extended)=&lt;C601901&gt;
CYP60107 - Record rejected - Previous Diagnosis (Coded Clinical Entry) has incorrect data format. Local Patient Identifier (Extended)=&lt;C601901&gt; Previous Diagnosis (Coded Clinical Entry) = &lt;C601010&gt;</v>
          </cell>
        </row>
        <row r="337">
          <cell r="A337" t="str">
            <v>C601020</v>
          </cell>
          <cell r="B337" t="str">
            <v>C601</v>
          </cell>
          <cell r="C337" t="str">
            <v>020</v>
          </cell>
          <cell r="D337" t="str">
            <v>C601020_1</v>
          </cell>
          <cell r="E337" t="str">
            <v>CYP601MedicalHistory</v>
          </cell>
          <cell r="F337" t="str">
            <v>DIAGNOSIS DATE</v>
          </cell>
          <cell r="G337">
            <v>0</v>
          </cell>
          <cell r="H337">
            <v>336</v>
          </cell>
          <cell r="I337" t="str">
            <v xml:space="preserve">DIAGNOSIS DATE is the PERSON PROPERTY OBSERVED DATE for the PATIENT DIAGNOSIS. </v>
          </cell>
          <cell r="J337" t="str">
            <v>an10
ccyy-mm-dd</v>
          </cell>
          <cell r="K337" t="str">
            <v>N/A</v>
          </cell>
          <cell r="L337" t="str">
            <v>Reject</v>
          </cell>
          <cell r="M337" t="str">
            <v>N/A</v>
          </cell>
          <cell r="N337" t="str">
            <v>Will accept PREVIOUS DIAGNOSIS month and/or year without a day element, in the format (ccyy-mm) or (ccyy). 
If DiagnosisDate is after the end of the reporting period, the record will be rejected.</v>
          </cell>
          <cell r="O337" t="str">
            <v>All to analyse between the data item and other events</v>
          </cell>
          <cell r="P337" t="str">
            <v>Analysis of times differences</v>
          </cell>
          <cell r="Q337" t="str">
            <v>R</v>
          </cell>
          <cell r="R337">
            <v>2</v>
          </cell>
          <cell r="S337" t="str">
            <v>CYP60108 - Record rejected - Diagnosis Date has incorrect data format. Local Patient Identifier (Extended)=&lt;C601901&gt;
CYP60109 - Record rejected - Diagnosis Date is after the end date of the reporting period. Local Patient Identifier (Extended)=&lt;C601901&gt; Diagnosis Date=&lt;C601020&gt;</v>
          </cell>
        </row>
        <row r="338">
          <cell r="A338" t="str">
            <v>C601D01</v>
          </cell>
          <cell r="E338" t="str">
            <v>CYP601MedicalHistory</v>
          </cell>
          <cell r="F338" t="str">
            <v>RECORD NUMBER</v>
          </cell>
          <cell r="G338">
            <v>1</v>
          </cell>
          <cell r="H338">
            <v>337</v>
          </cell>
          <cell r="I338" t="str">
            <v>Record number in this extract file.</v>
          </cell>
          <cell r="J338" t="str">
            <v>max n6</v>
          </cell>
        </row>
        <row r="339">
          <cell r="A339" t="str">
            <v>C601D02</v>
          </cell>
          <cell r="E339" t="str">
            <v>CYP601MedicalHistory</v>
          </cell>
          <cell r="F339" t="str">
            <v>CYP601 UNIQUE ID</v>
          </cell>
          <cell r="G339">
            <v>1</v>
          </cell>
          <cell r="H339">
            <v>338</v>
          </cell>
          <cell r="I339" t="str">
            <v>A unique ID per table.  This continues across reporting periods and across providers.  This uniquely identifies a row of data within a table.</v>
          </cell>
          <cell r="J339" t="str">
            <v>min n6
max n20</v>
          </cell>
        </row>
        <row r="340">
          <cell r="A340" t="str">
            <v>C601D03</v>
          </cell>
          <cell r="E340" t="str">
            <v>CYP601MedicalHistory</v>
          </cell>
          <cell r="F340" t="str">
            <v>ORGANISATION CODE (PROVIDER)</v>
          </cell>
          <cell r="G340">
            <v>1</v>
          </cell>
          <cell r="H340">
            <v>339</v>
          </cell>
          <cell r="I340" t="str">
            <v>Organisation code of provider submitting the data.</v>
          </cell>
          <cell r="J340" t="str">
            <v>max an6</v>
          </cell>
        </row>
        <row r="341">
          <cell r="A341" t="str">
            <v>C601D04</v>
          </cell>
          <cell r="E341" t="str">
            <v>CYP601MedicalHistory</v>
          </cell>
          <cell r="F341" t="str">
            <v>UNIQUE CYPHS ID (PATIENT)</v>
          </cell>
          <cell r="G341">
            <v>1</v>
          </cell>
          <cell r="H341">
            <v>340</v>
          </cell>
          <cell r="I341" t="str">
            <v>A nationally unique ID for the patient in the CYPHS Data Set generated from an index held by the BSP.</v>
          </cell>
          <cell r="J341" t="str">
            <v>max n10</v>
          </cell>
        </row>
        <row r="342">
          <cell r="A342" t="str">
            <v>C601D05</v>
          </cell>
          <cell r="E342" t="str">
            <v>CYP601MedicalHistory</v>
          </cell>
          <cell r="F342" t="str">
            <v>BSP UNIQUE ID</v>
          </cell>
          <cell r="G342">
            <v>1</v>
          </cell>
          <cell r="H342">
            <v>341</v>
          </cell>
          <cell r="I342" t="str">
            <v xml:space="preserve">A unique ID applied when original data file was uploaded to the Bureau Service Portal. Where a single upload is used to provide data for different reporting periods, there will be a separate BSPUniqueID assigned to each reporting period.  </v>
          </cell>
          <cell r="J342" t="str">
            <v>max n6</v>
          </cell>
        </row>
        <row r="343">
          <cell r="A343" t="str">
            <v>C602901</v>
          </cell>
          <cell r="B343" t="str">
            <v>C602</v>
          </cell>
          <cell r="C343" t="str">
            <v>901</v>
          </cell>
          <cell r="D343" t="str">
            <v>901_12</v>
          </cell>
          <cell r="E343" t="str">
            <v>CYP602DisabilityType</v>
          </cell>
          <cell r="F343" t="str">
            <v>LOCAL PATIENT IDENTIFIER (EXTENDED)</v>
          </cell>
          <cell r="G343">
            <v>0</v>
          </cell>
          <cell r="H343">
            <v>342</v>
          </cell>
          <cell r="I343" t="str">
            <v>This is a number used to identify a PATIENT uniquely within a Health Care Provider. It may be different from the PATIENT's casenote number and may be assigned automatically by the computer system.</v>
          </cell>
          <cell r="J343" t="str">
            <v>max an20</v>
          </cell>
          <cell r="K343" t="str">
            <v>Reject</v>
          </cell>
          <cell r="L343" t="str">
            <v>Reject</v>
          </cell>
          <cell r="M343" t="str">
            <v>N/A</v>
          </cell>
          <cell r="O343" t="str">
            <v>All to identify individual</v>
          </cell>
          <cell r="P343" t="str">
            <v>Used to uniquely identify an individual</v>
          </cell>
          <cell r="Q343" t="str">
            <v>M</v>
          </cell>
          <cell r="R343">
            <v>2</v>
          </cell>
          <cell r="S343" t="str">
            <v>CYP60202 - Record rejected - Local Patient Identifier (Extended) is blank.
CYP60203 - Record rejected - Local Patient Identifier (Extended) has incorrect data format. Local Patient Identifier (Extended)=&lt;C602901&gt;</v>
          </cell>
        </row>
        <row r="344">
          <cell r="A344" t="str">
            <v>C602010</v>
          </cell>
          <cell r="B344" t="str">
            <v>C602</v>
          </cell>
          <cell r="C344" t="str">
            <v>010</v>
          </cell>
          <cell r="D344" t="str">
            <v>C602010_1</v>
          </cell>
          <cell r="E344" t="str">
            <v>CYP602DisabilityType</v>
          </cell>
          <cell r="F344" t="str">
            <v>DISABILITY CODE</v>
          </cell>
          <cell r="G344">
            <v>0</v>
          </cell>
          <cell r="H344">
            <v>343</v>
          </cell>
          <cell r="I344" t="str">
            <v>An indication of whether a PERSON is disabled.</v>
          </cell>
          <cell r="J344" t="str">
            <v>an2</v>
          </cell>
          <cell r="K344" t="str">
            <v>Reject</v>
          </cell>
          <cell r="L344" t="str">
            <v>Reject</v>
          </cell>
          <cell r="M344" t="str">
            <v>Warning</v>
          </cell>
          <cell r="O344" t="str">
            <v>Used for analysis of data item</v>
          </cell>
          <cell r="P344" t="str">
            <v>The analyse differences in the outcomes and activity depending on disability code</v>
          </cell>
          <cell r="Q344" t="str">
            <v>M</v>
          </cell>
          <cell r="R344">
            <v>3</v>
          </cell>
          <cell r="S344" t="str">
            <v>CYP60204 - Record rejected - Disability Code has an incorrect data format. Local Patient Identifier (Extended)=&lt;C602901&gt; 
CYP60205 - Warning - Disability Code contains an invalid Disability Code. Local Patient Identifier (Extended)=&lt;C602901&gt; Disability Code=&lt;C602010&gt;
CYP60206 - Record rejected - Disability Code is blank. Local Patient Identifier (Extended)=&lt;C602901&gt;</v>
          </cell>
        </row>
        <row r="345">
          <cell r="A345" t="str">
            <v>C602020</v>
          </cell>
          <cell r="B345" t="str">
            <v>C602</v>
          </cell>
          <cell r="C345" t="str">
            <v>020</v>
          </cell>
          <cell r="D345" t="str">
            <v>C602020_1</v>
          </cell>
          <cell r="E345" t="str">
            <v>CYP602DisabilityType</v>
          </cell>
          <cell r="F345" t="str">
            <v>DISABILITY IMPACT PERCEPTION</v>
          </cell>
          <cell r="G345">
            <v>0</v>
          </cell>
          <cell r="H345">
            <v>344</v>
          </cell>
          <cell r="I345" t="str">
            <v>The patient's perception of whether their day-to-day activities are limited because of a health problem or disability which has lasted, or is expected to last, at least 12 months.</v>
          </cell>
          <cell r="J345" t="str">
            <v>an2</v>
          </cell>
          <cell r="K345" t="str">
            <v>N/A</v>
          </cell>
          <cell r="L345" t="str">
            <v>Reject</v>
          </cell>
          <cell r="M345" t="str">
            <v>Warning</v>
          </cell>
          <cell r="O345" t="str">
            <v>Used for analysis of data item</v>
          </cell>
          <cell r="P345" t="str">
            <v>The analyse differences in the outcomes and activity depending on impact of disability</v>
          </cell>
          <cell r="Q345" t="str">
            <v>R</v>
          </cell>
          <cell r="R345">
            <v>2</v>
          </cell>
          <cell r="S345" t="str">
            <v>CYP60207 - Record rejected - Disability Impact Perception has incorrect data format. Local Patient Identifier (Extended)=&lt;C602901&gt;
CYP60208 - Warning - Disability Impact Perception contains an invalid Disability Impact Perception. Local Patient Identifier (Extended)=&lt;C602901&gt; Disability Impact Perception=&lt;C602020&gt;</v>
          </cell>
        </row>
        <row r="346">
          <cell r="A346" t="str">
            <v>C602D01</v>
          </cell>
          <cell r="E346" t="str">
            <v>CYP602DisabilityType</v>
          </cell>
          <cell r="F346" t="str">
            <v>RECORD NUMBER</v>
          </cell>
          <cell r="G346">
            <v>1</v>
          </cell>
          <cell r="H346">
            <v>345</v>
          </cell>
          <cell r="I346" t="str">
            <v>Record number in this extract file.</v>
          </cell>
          <cell r="J346" t="str">
            <v>max n6</v>
          </cell>
        </row>
        <row r="347">
          <cell r="A347" t="str">
            <v>C602D02</v>
          </cell>
          <cell r="E347" t="str">
            <v>CYP602DisabilityType</v>
          </cell>
          <cell r="F347" t="str">
            <v>CYP602 UNIQUE ID</v>
          </cell>
          <cell r="G347">
            <v>1</v>
          </cell>
          <cell r="H347">
            <v>346</v>
          </cell>
          <cell r="I347" t="str">
            <v>A unique ID per table.  This continues across reporting periods and across providers.  This uniquely identifies a row of data within a table.</v>
          </cell>
          <cell r="J347" t="str">
            <v>min n6 max n20</v>
          </cell>
        </row>
        <row r="348">
          <cell r="A348" t="str">
            <v>C602D03</v>
          </cell>
          <cell r="E348" t="str">
            <v>CYP602DisabilityType</v>
          </cell>
          <cell r="F348" t="str">
            <v>ORGANISATION CODE (PROVIDER)</v>
          </cell>
          <cell r="G348">
            <v>1</v>
          </cell>
          <cell r="H348">
            <v>347</v>
          </cell>
          <cell r="I348" t="str">
            <v>Organisation code of provider submitting the data.</v>
          </cell>
          <cell r="J348" t="str">
            <v>max an6</v>
          </cell>
        </row>
        <row r="349">
          <cell r="A349" t="str">
            <v>C602D04</v>
          </cell>
          <cell r="E349" t="str">
            <v>CYP602DisabilityType</v>
          </cell>
          <cell r="F349" t="str">
            <v>UNIQUE CYPHS ID (PATIENT)</v>
          </cell>
          <cell r="G349">
            <v>1</v>
          </cell>
          <cell r="H349">
            <v>348</v>
          </cell>
          <cell r="I349" t="str">
            <v>A nationally unique ID for the patient in the CYPHS Data Set generated from an index held by the BSP.</v>
          </cell>
          <cell r="J349" t="str">
            <v>max n10</v>
          </cell>
        </row>
        <row r="350">
          <cell r="A350" t="str">
            <v>C602D05</v>
          </cell>
          <cell r="E350" t="str">
            <v>CYP602DisabilityType</v>
          </cell>
          <cell r="F350" t="str">
            <v>BSP UNIQUE ID</v>
          </cell>
          <cell r="G350">
            <v>1</v>
          </cell>
          <cell r="H350">
            <v>349</v>
          </cell>
          <cell r="I350" t="str">
            <v xml:space="preserve">A unique ID applied when original data file was uploaded to the Bureau Service Portal. Where a single upload is used to provide data for different reporting periods, there will be a separate BSPUniqueID assigned to each reporting period.  </v>
          </cell>
          <cell r="J350" t="str">
            <v>max n6</v>
          </cell>
        </row>
        <row r="351">
          <cell r="A351" t="str">
            <v>C603901</v>
          </cell>
          <cell r="B351" t="str">
            <v>C603</v>
          </cell>
          <cell r="C351" t="str">
            <v>901</v>
          </cell>
          <cell r="D351" t="str">
            <v>901_13</v>
          </cell>
          <cell r="E351" t="str">
            <v>CYP603NewbornHearingScreening</v>
          </cell>
          <cell r="F351" t="str">
            <v>LOCAL PATIENT IDENTIFIER (EXTENDED)</v>
          </cell>
          <cell r="G351">
            <v>0</v>
          </cell>
          <cell r="H351">
            <v>350</v>
          </cell>
          <cell r="I351" t="str">
            <v>This is a number used to identify a PATIENT uniquely within a Health Care Provider. It may be different from the PATIENT's casenote number and may be assigned automatically by the computer system.</v>
          </cell>
          <cell r="J351" t="str">
            <v>max an20</v>
          </cell>
          <cell r="K351" t="str">
            <v>Reject</v>
          </cell>
          <cell r="L351" t="str">
            <v>Reject</v>
          </cell>
          <cell r="M351" t="str">
            <v>N/A</v>
          </cell>
          <cell r="O351" t="str">
            <v>All to identify individual</v>
          </cell>
          <cell r="P351" t="str">
            <v>Used to uniquely identify an individual</v>
          </cell>
          <cell r="Q351" t="str">
            <v>M</v>
          </cell>
          <cell r="R351">
            <v>2</v>
          </cell>
          <cell r="S351" t="str">
            <v>CYP60303 - Record rejected - Local Patient Identifier (Extended) is blank. 
CYP60304 - Record rejected - Local Patient Identifier (Extended) has incorrect data format. Local Patient Identifier (Extended)=&lt;C603901&gt;</v>
          </cell>
        </row>
        <row r="352">
          <cell r="A352" t="str">
            <v>C603020</v>
          </cell>
          <cell r="B352" t="str">
            <v>C603</v>
          </cell>
          <cell r="C352" t="str">
            <v>020</v>
          </cell>
          <cell r="D352" t="str">
            <v>C603020_1</v>
          </cell>
          <cell r="E352" t="str">
            <v>CYP603NewbornHearingScreening</v>
          </cell>
          <cell r="F352" t="str">
            <v>SERVICE REQUEST DATE (NEWBORN HEARING AUDIOLOGY)</v>
          </cell>
          <cell r="G352">
            <v>0</v>
          </cell>
          <cell r="H352">
            <v>351</v>
          </cell>
          <cell r="I352" t="str">
            <v>The date on which a referral for audiology testing was made</v>
          </cell>
          <cell r="J352" t="str">
            <v>an10
ccyy-mm-dd</v>
          </cell>
          <cell r="K352" t="str">
            <v>N/A</v>
          </cell>
          <cell r="L352" t="str">
            <v>Reject</v>
          </cell>
          <cell r="M352" t="str">
            <v>N/A</v>
          </cell>
          <cell r="N352" t="str">
            <v>If ServiceRequestDate is after the end of the reporting period, the record will be rejected.
If ServiceRequestDate is before the Child's DATE OF BIRTH (as included in CYP001), the record will be rejected.</v>
          </cell>
          <cell r="O352" t="str">
            <v>1.4.1</v>
          </cell>
          <cell r="P352" t="str">
            <v>Monitor outcomes from newborn hearing screening</v>
          </cell>
          <cell r="Q352" t="str">
            <v>R</v>
          </cell>
          <cell r="R352">
            <v>3</v>
          </cell>
          <cell r="S352" t="str">
            <v>CYP60305 - Record rejected - Service Request Date (Newborn Hearing Audiology) has incorrect date format. Local Patient Identifier (Extended)=&lt;C603901&gt;
CYP60311 - Record rejected - Service Request Date (Newborn Hearing Audiology) is after the end date of the reporting period. Local Patient Identifier (Extended)=&lt;C603901&gt; Service Request Date (Newborn Hearing Audiology)=&lt;C603020&gt;
CYP60312 - Record rejected - Service Request Date (Newborn Hearing Audiology) is before the Person Birth Date. Local Patient Identifier (Extended)=&lt;C603901&gt; Service Request Date (Newborn Hearing Audiology)=&lt;C603020&gt;</v>
          </cell>
        </row>
        <row r="353">
          <cell r="A353" t="str">
            <v>C603010</v>
          </cell>
          <cell r="B353" t="str">
            <v>C603</v>
          </cell>
          <cell r="C353" t="str">
            <v>010</v>
          </cell>
          <cell r="D353" t="str">
            <v>C603010_1</v>
          </cell>
          <cell r="E353" t="str">
            <v>CYP603NewbornHearingScreening</v>
          </cell>
          <cell r="F353" t="str">
            <v>NEWBORN HEARING SCREENING OUTCOME</v>
          </cell>
          <cell r="G353">
            <v>0</v>
          </cell>
          <cell r="H353">
            <v>352</v>
          </cell>
          <cell r="I353" t="str">
            <v>Outcome of NEWBORN HEARING SCREENING</v>
          </cell>
          <cell r="J353" t="str">
            <v>an2</v>
          </cell>
          <cell r="K353" t="str">
            <v>N/A</v>
          </cell>
          <cell r="L353" t="str">
            <v>Reject</v>
          </cell>
          <cell r="M353" t="str">
            <v>Warning</v>
          </cell>
          <cell r="N353" t="str">
            <v>If Newborn Hearing Screening Outcome was recorded as "Clear response, no follow up required", but Service Request Date (Newborn Hearing Audiology) is populated, the record will be rejected.</v>
          </cell>
          <cell r="O353">
            <v>1.4</v>
          </cell>
          <cell r="P353" t="str">
            <v>To monitor the outcomes for those babies referred from Newborn Hearing Screening, Blood Spot Screening and Newborn and 6-8 week physical screening</v>
          </cell>
          <cell r="Q353" t="str">
            <v>R</v>
          </cell>
          <cell r="R353">
            <v>5</v>
          </cell>
          <cell r="S353" t="str">
            <v>CYP60307 - Record rejected - Newborn Hearing Screening Outcome has incorrect data format. Local Patient Identifier (Extended)=&lt;C603901&gt;
CYP60308 - Warning - Newborn Hearing Screening Outcome contains an invalid Newborn Hearing Screening Outcome. Local Patient Identifier (Extended)=C603901&gt; Newborn Hearing Screening Outcome=&lt;C603010&gt;
CYP60315 - Record rejected - Newborn Hearing Screening Outcome was recorded as "Clear response, no follow up required", but Service Request Date (Newborn Hearing Audiology) is populated. Local Patient Identifier (Extended)=&lt;C603901&gt; Newborn Hearing Screening Outcome=&lt;C603010&gt;
CYP60316 - Record rejected - Newborn Hearing Screening Outcome was recorded as "Clear response, no follow up required", but Procedure Date (Newborn Hearing Audiology) is populated. Local Patient Identifier (Extended)=&lt;C603901&gt; Newborn Hearing Screening Outcome=&lt;C603010&gt;
CYP60317 - Record rejected - Newborn Hearing Screening Outcome was recorded as "Clear response, no follow up required", but Newborn Hearing Audiology Outcome is populated. Local Patient Identifier (Extended)=&lt;C603901&gt; Newborn Hearing Screening Outcome=&lt;C603010&gt;</v>
          </cell>
        </row>
        <row r="354">
          <cell r="A354" t="str">
            <v>C603030</v>
          </cell>
          <cell r="B354" t="str">
            <v>C603</v>
          </cell>
          <cell r="C354" t="str">
            <v>030</v>
          </cell>
          <cell r="D354" t="str">
            <v>C603030_1</v>
          </cell>
          <cell r="E354" t="str">
            <v>CYP603NewbornHearingScreening</v>
          </cell>
          <cell r="F354" t="str">
            <v>PROCEDURE DATE (NEWBORN HEARING AUDIOLOGY)</v>
          </cell>
          <cell r="G354">
            <v>0</v>
          </cell>
          <cell r="H354">
            <v>353</v>
          </cell>
          <cell r="I354" t="str">
            <v>The date that a NEWBORN HEARING AUDIOLOGY TEST took place.</v>
          </cell>
          <cell r="J354" t="str">
            <v>an10
ccyy-mm-dd</v>
          </cell>
          <cell r="K354" t="str">
            <v>N/A</v>
          </cell>
          <cell r="L354" t="str">
            <v>Reject</v>
          </cell>
          <cell r="M354" t="str">
            <v>N/A</v>
          </cell>
          <cell r="N354" t="str">
            <v>If NewbornHearingAudiologyTestDate is populated and not within the reporting period, the record will be rejected.</v>
          </cell>
          <cell r="O354" t="str">
            <v>All to analyse between the data item and other events</v>
          </cell>
          <cell r="P354" t="str">
            <v>Analysis of date differences</v>
          </cell>
          <cell r="Q354" t="str">
            <v>R</v>
          </cell>
          <cell r="R354">
            <v>2</v>
          </cell>
          <cell r="S354" t="str">
            <v xml:space="preserve">CYP60306 - Record rejected - Procedure Date (Newborn Hearing Audiology) has incorrect date format. Local Patient Identifier (Extended)=&lt;C603901&gt;
CYP60313 - Record rejected - Procedure Date (Newborn Hearing Audiology) is outside of the reporting period. Local Patient Identifier (Extended)=&lt;C603901&gt; Procedure Date (Newborn Hearing Audiology)=&lt;C603030&gt; </v>
          </cell>
        </row>
        <row r="355">
          <cell r="A355" t="str">
            <v>C603040</v>
          </cell>
          <cell r="B355" t="str">
            <v>C603</v>
          </cell>
          <cell r="C355" t="str">
            <v>040</v>
          </cell>
          <cell r="D355" t="str">
            <v>C603040_1</v>
          </cell>
          <cell r="E355" t="str">
            <v>CYP603NewbornHearingScreening</v>
          </cell>
          <cell r="F355" t="str">
            <v>NEWBORN HEARING AUDIOLOGY OUTCOME</v>
          </cell>
          <cell r="G355">
            <v>0</v>
          </cell>
          <cell r="H355">
            <v>354</v>
          </cell>
          <cell r="I355" t="str">
            <v>The outcome of audiology testing</v>
          </cell>
          <cell r="J355" t="str">
            <v>an2</v>
          </cell>
          <cell r="K355" t="str">
            <v>N/A</v>
          </cell>
          <cell r="L355" t="str">
            <v>Reject</v>
          </cell>
          <cell r="M355" t="str">
            <v>Warning</v>
          </cell>
          <cell r="O355" t="str">
            <v>1.4.1</v>
          </cell>
          <cell r="P355" t="str">
            <v>Monitor outcomes from newborn hearing screening</v>
          </cell>
          <cell r="Q355" t="str">
            <v>R</v>
          </cell>
          <cell r="R355">
            <v>2</v>
          </cell>
          <cell r="S355" t="str">
            <v>CYP60309 - Record rejected - Newborn Hearing Audiology Outcome has incorrect data format. Local Patient Identifier (Extended)=&lt;C603901&gt;
CYP60310 - Warning - CYP603HearingScreening contains an invalid Newborn Hearing Audiology Outcome. Local Patient Identifier (Extended)=C603901&gt; Newborn Hearing Audiology Outcome=&lt;C603040&gt;</v>
          </cell>
        </row>
        <row r="356">
          <cell r="A356" t="str">
            <v>C603D01</v>
          </cell>
          <cell r="E356" t="str">
            <v>CYP603NewbornHearingScreening</v>
          </cell>
          <cell r="F356" t="str">
            <v>RECORD NUMBER</v>
          </cell>
          <cell r="G356">
            <v>1</v>
          </cell>
          <cell r="H356">
            <v>355</v>
          </cell>
          <cell r="I356" t="str">
            <v>Record number in this extract file.</v>
          </cell>
          <cell r="J356" t="str">
            <v>max n6</v>
          </cell>
        </row>
        <row r="357">
          <cell r="A357" t="str">
            <v>C603D02</v>
          </cell>
          <cell r="E357" t="str">
            <v>CYP603NewbornHearingScreening</v>
          </cell>
          <cell r="F357" t="str">
            <v>CYP603 UNIQUE ID</v>
          </cell>
          <cell r="G357">
            <v>1</v>
          </cell>
          <cell r="H357">
            <v>356</v>
          </cell>
          <cell r="I357" t="str">
            <v>A unique ID per table.  This continues across reporting periods and across providers.  This uniquely identifies a row of data within a table.</v>
          </cell>
          <cell r="J357" t="str">
            <v>min n6 max n20</v>
          </cell>
        </row>
        <row r="358">
          <cell r="A358" t="str">
            <v>C603D03</v>
          </cell>
          <cell r="E358" t="str">
            <v>CYP603NewbornHearingScreening</v>
          </cell>
          <cell r="F358" t="str">
            <v>ORGANISATION CODE (PROVIDER)</v>
          </cell>
          <cell r="G358">
            <v>1</v>
          </cell>
          <cell r="H358">
            <v>357</v>
          </cell>
          <cell r="I358" t="str">
            <v>Organisation code of provider submitting the data.</v>
          </cell>
          <cell r="J358" t="str">
            <v>max an6</v>
          </cell>
        </row>
        <row r="359">
          <cell r="A359" t="str">
            <v>C603D04</v>
          </cell>
          <cell r="E359" t="str">
            <v>CYP603NewbornHearingScreening</v>
          </cell>
          <cell r="F359" t="str">
            <v>UNIQUE CYPHS ID (PATIENT)</v>
          </cell>
          <cell r="G359">
            <v>1</v>
          </cell>
          <cell r="H359">
            <v>358</v>
          </cell>
          <cell r="I359" t="str">
            <v>A nationally unique ID for the patient in the CYPHS Data Set generated from an index held by the BSP.</v>
          </cell>
          <cell r="J359" t="str">
            <v>max n10</v>
          </cell>
        </row>
        <row r="360">
          <cell r="A360" t="str">
            <v>C603D05</v>
          </cell>
          <cell r="E360" t="str">
            <v>CYP603NewbornHearingScreening</v>
          </cell>
          <cell r="F360" t="str">
            <v>BSP UNIQUE ID</v>
          </cell>
          <cell r="G360">
            <v>1</v>
          </cell>
          <cell r="H360">
            <v>359</v>
          </cell>
          <cell r="I360" t="str">
            <v xml:space="preserve">A unique ID applied when original data file was uploaded to the Bureau Service Portal. Where a single upload is used to provide data for different reporting periods, there will be a separate BSPUniqueID assigned to each reporting period.  </v>
          </cell>
          <cell r="J360" t="str">
            <v>max n6</v>
          </cell>
        </row>
        <row r="361">
          <cell r="A361" t="str">
            <v>C603D06</v>
          </cell>
          <cell r="E361" t="str">
            <v>CYP603NewbornHearingScreening</v>
          </cell>
          <cell r="F361" t="str">
            <v>AGE AT NEWBORN HEARING SERVICE REQUEST DATE</v>
          </cell>
          <cell r="G361">
            <v>1</v>
          </cell>
          <cell r="H361">
            <v>360</v>
          </cell>
          <cell r="I361" t="str">
            <v>Age at Newborn Hearing Service Request Date (Newborn Hearing Audiology)</v>
          </cell>
          <cell r="J361" t="str">
            <v>max n2</v>
          </cell>
        </row>
        <row r="362">
          <cell r="A362" t="str">
            <v>C603D07</v>
          </cell>
          <cell r="E362" t="str">
            <v>CYP603NewbornHearingScreening</v>
          </cell>
          <cell r="F362" t="str">
            <v>AGE AT NEWBORN HEARING PROCEDURE DATE</v>
          </cell>
          <cell r="G362">
            <v>1</v>
          </cell>
          <cell r="H362">
            <v>361</v>
          </cell>
          <cell r="I362" t="str">
            <v>Age at Procedure Date (Newborn Hearing Audiology)</v>
          </cell>
          <cell r="J362" t="str">
            <v>max n2</v>
          </cell>
        </row>
        <row r="363">
          <cell r="A363" t="str">
            <v>C604901</v>
          </cell>
          <cell r="B363" t="str">
            <v>C604</v>
          </cell>
          <cell r="C363" t="str">
            <v>901</v>
          </cell>
          <cell r="D363" t="str">
            <v>901_14</v>
          </cell>
          <cell r="E363" t="str">
            <v>CYP604BloodSpotResult</v>
          </cell>
          <cell r="F363" t="str">
            <v>LOCAL PATIENT IDENTIFIER (EXTENDED)</v>
          </cell>
          <cell r="G363">
            <v>0</v>
          </cell>
          <cell r="H363">
            <v>362</v>
          </cell>
          <cell r="I363" t="str">
            <v>This is a number used to identify a PATIENT uniquely within a Health Care Provider. It may be different from the PATIENT's casenote number and may be assigned automatically by the computer system.</v>
          </cell>
          <cell r="J363" t="str">
            <v>max an20</v>
          </cell>
          <cell r="K363" t="str">
            <v>Reject</v>
          </cell>
          <cell r="L363" t="str">
            <v>Reject</v>
          </cell>
          <cell r="M363" t="str">
            <v>N/A</v>
          </cell>
          <cell r="O363" t="str">
            <v>All to identify individual</v>
          </cell>
          <cell r="P363" t="str">
            <v>Used to uniquely identify an individual</v>
          </cell>
          <cell r="Q363" t="str">
            <v>M</v>
          </cell>
          <cell r="R363">
            <v>2</v>
          </cell>
          <cell r="S363" t="str">
            <v>CYP60403 - Record rejected - Local Patient Identifier (Extended) is blank. 
CYP60404 - Record rejected - Local Patient Identifier (Extended) has incorrect data format. Local Patient Identifier (Extended)=&lt;C604901&gt;</v>
          </cell>
        </row>
        <row r="364">
          <cell r="A364" t="str">
            <v>C604010</v>
          </cell>
          <cell r="B364" t="str">
            <v>C604</v>
          </cell>
          <cell r="C364" t="str">
            <v>010</v>
          </cell>
          <cell r="D364" t="str">
            <v>C604010_1</v>
          </cell>
          <cell r="E364" t="str">
            <v>CYP604BloodSpotResult</v>
          </cell>
          <cell r="F364" t="str">
            <v>BLOOD SPOT CARD COMPLETION DATE</v>
          </cell>
          <cell r="G364">
            <v>0</v>
          </cell>
          <cell r="H364">
            <v>363</v>
          </cell>
          <cell r="I364" t="str">
            <v xml:space="preserve">The blood SAMPLE COLLECTION DATE for a Newborn Blood Spot Test for a Neonate. </v>
          </cell>
          <cell r="J364" t="str">
            <v>an10
ccyy-mm-dd</v>
          </cell>
          <cell r="K364" t="str">
            <v>N/A</v>
          </cell>
          <cell r="L364" t="str">
            <v>Reject</v>
          </cell>
          <cell r="M364" t="str">
            <v>N/A</v>
          </cell>
          <cell r="N364" t="str">
            <v>If BloodSpotCardCompletionDate is after the end of the reporting period, the record will be rejected.
If BloodSpotCardCompletionDate is before the Child's DATE OF BIRTH (as included in CYP001), the record will be rejected.</v>
          </cell>
          <cell r="O364" t="str">
            <v>All to analyse between the data item and other events</v>
          </cell>
          <cell r="P364" t="str">
            <v>Used to identify what date blood tests relate to.</v>
          </cell>
          <cell r="Q364" t="str">
            <v>R</v>
          </cell>
          <cell r="R364">
            <v>3</v>
          </cell>
          <cell r="S364" t="str">
            <v>CYP60406 - Record rejected - Blood Spot Card Completion Date has incorrect data format. Local Patient Identifier (Extended)=&lt;C604901&gt;
CYP60427 - Record rejected - Blood Spot Card Completion Date is after the end date of the reporting period. Local Patient Identifier (Extended)=&lt;C604901&gt; Blood Spot Card Completion Date=&lt;C604010&gt;
CYP60428 - Record rejected - Blood Spot Card Completion Date is before the Person Birth date. Local Patient Identifier (Extended)=&lt;C604901&gt; Blood Spot Card Completion Date=&lt;C604010&gt;</v>
          </cell>
        </row>
        <row r="365">
          <cell r="A365" t="str">
            <v>C604020</v>
          </cell>
          <cell r="B365" t="str">
            <v>C604</v>
          </cell>
          <cell r="C365" t="str">
            <v>020</v>
          </cell>
          <cell r="D365" t="str">
            <v>C604020_1</v>
          </cell>
          <cell r="E365" t="str">
            <v>CYP604BloodSpotResult</v>
          </cell>
          <cell r="F365" t="str">
            <v>NEWBORN BLOOD SPOT TEST RESULT RECEIVED DATE</v>
          </cell>
          <cell r="G365">
            <v>0</v>
          </cell>
          <cell r="H365">
            <v>364</v>
          </cell>
          <cell r="I365" t="str">
            <v>The date that a BLOOD SPOT TEST RESULT was received by a Health Care Provider from the testing laboratory.</v>
          </cell>
          <cell r="J365" t="str">
            <v>an10
ccyy-mm-dd</v>
          </cell>
          <cell r="K365" t="str">
            <v>N/A</v>
          </cell>
          <cell r="L365" t="str">
            <v>Reject</v>
          </cell>
          <cell r="M365" t="str">
            <v>N/A</v>
          </cell>
          <cell r="N365" t="str">
            <v>If Blood Spot Test Result Received Date is populated and not within the reporting period, the record will be rejected.
If Blood Spot Test Result Received is before Blood Spot Card Completion Date, the record will be rejected.</v>
          </cell>
          <cell r="O365" t="str">
            <v>All to analyse between the data item and other events</v>
          </cell>
          <cell r="P365" t="str">
            <v>Analysis of date differences</v>
          </cell>
          <cell r="Q365" t="str">
            <v>R</v>
          </cell>
          <cell r="R365">
            <v>3</v>
          </cell>
          <cell r="S365" t="str">
            <v>CYP60418 - Record rejected -Newborn Blood Spot Test Result Received Date has incorrect data format. Local Patient Identifier (Extended)=&lt;C604901&gt;
CYP60440 - Record rejected -Newborn Blood Spot Test Result Received Date is outside of the reporting period. Local Patient Identifier (Extended)=&lt;C604901&gt;Newborn Blood Spot Test Result Received Date=&lt;C604020&gt; 
CYP60430 - Record rejected - Newborn Blood Spot Test Result Received Date is before Blood Spot Card Completion Date. Local Patient Identifier (Extended)=&lt;C604901&gt; Newborn Blood Spot Test Result Received Date = &lt;C604020&gt; Blood Spot Card Completion Date = &lt;C604010&gt;</v>
          </cell>
        </row>
        <row r="366">
          <cell r="A366" t="str">
            <v>C604030</v>
          </cell>
          <cell r="B366" t="str">
            <v>C604</v>
          </cell>
          <cell r="C366" t="str">
            <v>030</v>
          </cell>
          <cell r="D366" t="str">
            <v>C604030_1</v>
          </cell>
          <cell r="E366" t="str">
            <v>CYP604BloodSpotResult</v>
          </cell>
          <cell r="F366" t="str">
            <v>NEWBORN BLOOD SPOT TEST OUTCOME STATUS CODE (PHENYLKETONURIA)</v>
          </cell>
          <cell r="G366">
            <v>0</v>
          </cell>
          <cell r="H366">
            <v>365</v>
          </cell>
          <cell r="I366" t="str">
            <v>Result of screening for PKU</v>
          </cell>
          <cell r="J366" t="str">
            <v>an2</v>
          </cell>
          <cell r="K366" t="str">
            <v>N/A</v>
          </cell>
          <cell r="L366" t="str">
            <v>Reject</v>
          </cell>
          <cell r="M366" t="str">
            <v>Warning</v>
          </cell>
          <cell r="N366" t="str">
            <v>If Newborn Blood Spot Test Outcome Status Code (Phenylketonuria) is populated and Newborn Blood Spot Test Result Received Date is blank, then a warning will be generated.</v>
          </cell>
          <cell r="O366">
            <v>1.4</v>
          </cell>
          <cell r="P366" t="str">
            <v>To monitor the outcomes for those babies referred from Newborn Hearing Screening, Blood Spot Screening and Newborn and 6-8 week physical screening</v>
          </cell>
          <cell r="Q366" t="str">
            <v>R</v>
          </cell>
          <cell r="R366">
            <v>3</v>
          </cell>
          <cell r="S366" t="str">
            <v>CYP60407 - Record rejected - Newborn Blood Spot Test Outcome Status Code (Phenylketonuria) has incorrect data format. Local Patient Identifier (Extended)=&lt;C604901&gt;
CYP60408 - Warning - Newborn Blood Spot Test Outcome Status Code (Phenylketonuria) contains an invalid Newborn Blood Spot Test Outcome Status Code (Phenylketonuria). Local Patient Identifier (Extended)=&lt;C604901&gt; Newborn Blood Spot Test Outcome Status Code (Phenylketonuria)=&lt;C604030&gt;
CYP60431 - Warning - Newborn Blood Spot Test Outcome Status Code (Phenylketonuria) is populated but Newborn Blood Spot Test Result Received Date is blank. Local Patient Identifier (Extended)=&lt;C604901&gt;</v>
          </cell>
        </row>
        <row r="367">
          <cell r="A367" t="str">
            <v>C604040</v>
          </cell>
          <cell r="B367" t="str">
            <v>C604</v>
          </cell>
          <cell r="C367" t="str">
            <v>040</v>
          </cell>
          <cell r="D367" t="str">
            <v>C604040_1</v>
          </cell>
          <cell r="E367" t="str">
            <v>CYP604BloodSpotResult</v>
          </cell>
          <cell r="F367" t="str">
            <v>NEWBORN BLOOD SPOT TEST OUTCOME STATUS CODE (SICKLE CELL DISEASE)</v>
          </cell>
          <cell r="G367">
            <v>0</v>
          </cell>
          <cell r="H367">
            <v>366</v>
          </cell>
          <cell r="I367" t="str">
            <v>Result of screening for SCD</v>
          </cell>
          <cell r="J367" t="str">
            <v>an2</v>
          </cell>
          <cell r="K367" t="str">
            <v>N/A</v>
          </cell>
          <cell r="L367" t="str">
            <v>Reject</v>
          </cell>
          <cell r="M367" t="str">
            <v>Warning</v>
          </cell>
          <cell r="N367" t="str">
            <v>If Newborn Blood Spot Test Outcome Status Code (Sickle Cell Disease) is populated and Newborn Blood Spot Test Result Received Date is blank, then a warning will be generated.</v>
          </cell>
          <cell r="O367">
            <v>1.4</v>
          </cell>
          <cell r="P367" t="str">
            <v>To monitor the outcomes for those babies referred from Newborn Hearing Screening, Blood Spot Screening and Newborn and 6-8 week physical screening</v>
          </cell>
          <cell r="Q367" t="str">
            <v>R</v>
          </cell>
          <cell r="R367">
            <v>3</v>
          </cell>
          <cell r="S367" t="str">
            <v>CYP60409 - Record rejected - Newborn Blood Spot Test Outcome Status Code (Sickle Cell Disease) has incorrect data format. Local Patient Identifier (Extended)=&lt;C604901&gt;
CYP60410 - Warning - CYP604BloodSpotResult contains an invalid Newborn Blood Spot Test Outcome Status Code (Sickle Cell Disease). Local Patient Identifier (Extended)=&lt;C604901&gt; Newborn Blood Spot Test Outcome Status Code (Sickle Cell Disease)=&lt;C604040&gt;
CYP60432 - Warning - Newborn Blood Spot Test Outcome Status Code (Sickle Cell Disease) is populated but Newborn Blood Spot Test Result Received Date is blank. Local Patient Identifier (Extended)=&lt;C604901&gt;</v>
          </cell>
        </row>
        <row r="368">
          <cell r="A368" t="str">
            <v>C604050</v>
          </cell>
          <cell r="B368" t="str">
            <v>C604</v>
          </cell>
          <cell r="C368" t="str">
            <v>050</v>
          </cell>
          <cell r="D368" t="str">
            <v>C604050_1</v>
          </cell>
          <cell r="E368" t="str">
            <v>CYP604BloodSpotResult</v>
          </cell>
          <cell r="F368" t="str">
            <v>NEWBORN BLOOD SPOT TEST OUTCOME STATUS CODE (CYSTIC FIBROSIS)</v>
          </cell>
          <cell r="G368">
            <v>0</v>
          </cell>
          <cell r="H368">
            <v>367</v>
          </cell>
          <cell r="I368" t="str">
            <v>Result of screening for CF</v>
          </cell>
          <cell r="J368" t="str">
            <v>an2</v>
          </cell>
          <cell r="K368" t="str">
            <v>N/A</v>
          </cell>
          <cell r="L368" t="str">
            <v>Reject</v>
          </cell>
          <cell r="M368" t="str">
            <v>Warning</v>
          </cell>
          <cell r="N368" t="str">
            <v>If Newborn Blood Spot Test Outcome Status Code (Cystic Fibrosis) is populated and Newborn Blood Spot Test Result Received Date is blank, then a warning will be generated.</v>
          </cell>
          <cell r="O368">
            <v>1.4</v>
          </cell>
          <cell r="P368" t="str">
            <v>To monitor the outcomes for those babies referred from Newborn Hearing Screening, Blood Spot Screening and Newborn and 6-8 week physical screening</v>
          </cell>
          <cell r="Q368" t="str">
            <v>R</v>
          </cell>
          <cell r="R368">
            <v>3</v>
          </cell>
          <cell r="S368" t="str">
            <v>CYP60411 - Record rejected - Newborn Blood Spot Test Outcome Status Code (Cystic Fibrosis) has incorrect data format. Local Patient Identifier (Extended)=&lt;C604901&gt;
CYP60412 - Warning - Newborn Blood Spot Test Outcome Status Code (Cystic Fibrosis) contains an invalid Newborn Blood Spot Test Outcome Status Code (Cystic Fibrosis). Local Patient Identifier (Extended)=&lt;C604901&gt; Newborn Blood Spot Test Outcome Status Code (Cystic Fibrosis)=&lt;C604050&gt;
CYP60433 - Warning - Newborn Blood Spot Test Outcome Status Code (Cystic Fibrosis) is populated but Newborn Blood Spot Test Result Received Date is blank. Local Patient Identifier (Extended)=&lt;C604901&gt;</v>
          </cell>
        </row>
        <row r="369">
          <cell r="A369" t="str">
            <v>C604060</v>
          </cell>
          <cell r="B369" t="str">
            <v>C604</v>
          </cell>
          <cell r="C369" t="str">
            <v>060</v>
          </cell>
          <cell r="D369" t="str">
            <v>C604060_1</v>
          </cell>
          <cell r="E369" t="str">
            <v>CYP604BloodSpotResult</v>
          </cell>
          <cell r="F369" t="str">
            <v>NEWBORN BLOOD SPOT TEST OUTCOME STATUS CODE (CONGENITAL HYPOTHYROIDISM)</v>
          </cell>
          <cell r="G369">
            <v>0</v>
          </cell>
          <cell r="H369">
            <v>368</v>
          </cell>
          <cell r="I369" t="str">
            <v>Result of screening for CHT</v>
          </cell>
          <cell r="J369" t="str">
            <v>an2</v>
          </cell>
          <cell r="K369" t="str">
            <v>N/A</v>
          </cell>
          <cell r="L369" t="str">
            <v>Reject</v>
          </cell>
          <cell r="M369" t="str">
            <v>Warning</v>
          </cell>
          <cell r="N369" t="str">
            <v>If Newborn Blood Spot Test Outcome Status Code (Congenital Hypothyroidism) is populated and Newborn Blood Spot Test Result Received Date is blank, then a warning will be generated.</v>
          </cell>
          <cell r="O369">
            <v>1.4</v>
          </cell>
          <cell r="P369" t="str">
            <v>To monitor the outcomes for those babies referred from Newborn Hearing Screening, Blood Spot Screening and Newborn and 6-8 week physical screening</v>
          </cell>
          <cell r="Q369" t="str">
            <v>R</v>
          </cell>
          <cell r="R369">
            <v>3</v>
          </cell>
          <cell r="S369" t="str">
            <v>CYP60413 - Record rejected - Newborn Blood Spot Test Outcome Status Code (Congenital Hypothyroidism) has incorrect data format. Local Patient Identifier (Extended)=&lt;C604901&gt;
CYP60414 - Warning - Newborn Blood Spot Test Outcome Status Code (Congenital Hypothyroidism) contains an invalid Newborn Blood Spot Test Outcome Status Code (Congenital Hypothyroidism). Local Patient Identifier (Extended)=&lt;C604901&gt; Newborn Blood Spot Test Outcome Status Code (Congenital Hypothyroidism)=&lt;C604060&gt;
CYP60434 - Warning - Newborn Blood Spot Test Outcome Status Code (Congenital Hypothyroidism) is populated but Newborn Blood Spot Test Result Received Date is blank. Local Patient Identifier (Extended)=&lt;C604901&gt;</v>
          </cell>
        </row>
        <row r="370">
          <cell r="A370" t="str">
            <v>C604070</v>
          </cell>
          <cell r="B370" t="str">
            <v>C604</v>
          </cell>
          <cell r="C370" t="str">
            <v>070</v>
          </cell>
          <cell r="D370" t="str">
            <v>C604070_1</v>
          </cell>
          <cell r="E370" t="str">
            <v>CYP604BloodSpotResult</v>
          </cell>
          <cell r="F370" t="str">
            <v>NEWBORN BLOOD SPOT TEST OUTCOME STATUS CODE (MEDIUM CHAIN ACYL-COA DEHYDROGENASE DEFICIENCY)</v>
          </cell>
          <cell r="G370">
            <v>0</v>
          </cell>
          <cell r="H370">
            <v>369</v>
          </cell>
          <cell r="I370" t="str">
            <v>Result of screening for MCADD</v>
          </cell>
          <cell r="J370" t="str">
            <v>an2</v>
          </cell>
          <cell r="K370" t="str">
            <v>N/A</v>
          </cell>
          <cell r="L370" t="str">
            <v>Reject</v>
          </cell>
          <cell r="M370" t="str">
            <v>Warning</v>
          </cell>
          <cell r="N370" t="str">
            <v>If Newborn Blood Spot Test Outcome Status Code (Medium Chain ACYL-COA Dehydrogenase Deficiency) is populated and Newborn Blood Spot Test Result Received Date is blank, then a warning will be generated.</v>
          </cell>
          <cell r="O370">
            <v>1.4</v>
          </cell>
          <cell r="P370" t="str">
            <v>To monitor the outcomes for those babies referred from Newborn Hearing Screening, Blood Spot Screening and Newborn and 6-8 week physical screening</v>
          </cell>
          <cell r="Q370" t="str">
            <v>R</v>
          </cell>
          <cell r="R370">
            <v>3</v>
          </cell>
          <cell r="S370" t="str">
            <v>CYP60415 - Record rejected - Newborn Blood Spot Test Outcome Status Code (Medium Chain ACYL-COA Dehydrogenase Deficiency) has incorrect data format. Local Patient Identifier (Extended)=&lt;C604901&gt;
CYP60416 - Warning - Newborn Blood Spot Test Outcome Status Code (Medium Chain ACYL-COA Dehydrogenase Deficiency) contains an invalid Newborn Blood Spot Test Outcome Status Code (Medium Chain ACYL-COA Dehydrogenase Deficiency). Local Patient Identifier (Extended)=&lt;C604901&gt; Newborn Blood Spot Test Outcome Status Code (Medium Chain ACYL-COA Dehydrogenase Deficiency)=&lt;C604070&gt;
CYP60435 - Warning - Newborn Blood Spot Test Outcome Status Code (Medium Chain ACYL-COA Dehydrogenase Deficiency) is populated but Newborn Blood Spot Test Result Received Date is blank. Local Patient Identifier (Extended)=&lt;C604901&gt;</v>
          </cell>
        </row>
        <row r="371">
          <cell r="A371" t="str">
            <v>C604080</v>
          </cell>
          <cell r="B371" t="str">
            <v>C604</v>
          </cell>
          <cell r="C371" t="str">
            <v>080</v>
          </cell>
          <cell r="D371" t="str">
            <v>C604080_1</v>
          </cell>
          <cell r="E371" t="str">
            <v>CYP604BloodSpotResult</v>
          </cell>
          <cell r="F371" t="str">
            <v>NEWBORN BLOOD SPOT TEST OUTCOME STATUS CODE (HOMOCYSTINURIA)</v>
          </cell>
          <cell r="G371">
            <v>0</v>
          </cell>
          <cell r="H371">
            <v>370</v>
          </cell>
          <cell r="I371" t="str">
            <v>Result of screening for HCU</v>
          </cell>
          <cell r="J371" t="str">
            <v>an2</v>
          </cell>
          <cell r="K371" t="str">
            <v>N/A</v>
          </cell>
          <cell r="L371" t="str">
            <v>Reject</v>
          </cell>
          <cell r="M371" t="str">
            <v>Warning</v>
          </cell>
          <cell r="N371" t="str">
            <v>If Newborn Blood Spot Test Outcome Status Code (Homocystinuria) is populated and Newborn Blood Spot Test Result Received Date is blank, then a warning will be generated.</v>
          </cell>
          <cell r="O371">
            <v>1.4</v>
          </cell>
          <cell r="P371" t="str">
            <v>To monitor the outcomes for those babies referred from Newborn Hearing Screening, Blood Spot Screening and Newborn and 6-8 week physical screening</v>
          </cell>
          <cell r="Q371" t="str">
            <v>R</v>
          </cell>
          <cell r="R371">
            <v>3</v>
          </cell>
          <cell r="S371" t="str">
            <v>CYP60419 - Record rejected - Newborn Blood Spot Test Outcome Status Code (Homocystinuria) has incorrect data format. Local Patient Identifier (Extended)=&lt;C604901&gt;
CYP60420 - Warning - Newborn Blood Spot Test Outcome Status Code (Homocystinuria) contains an invalid Newborn Blood Spot Test Outcome Status Code (Homocystinuria). Local Patient Identifier (Extended)=&lt;C604901&gt; Newborn Blood Spot Test Outcome Status Code (Homocystinuria)=&lt;C604080&gt;
CYP60436 - Warning - Newborn Blood Spot Test Outcome Status Code (Homocystinuria) is populated but Newborn Blood Spot Test Result Received Date is blank. Local Patient Identifier (Extended)=&lt;C604901&gt;</v>
          </cell>
        </row>
        <row r="372">
          <cell r="A372" t="str">
            <v>C604090</v>
          </cell>
          <cell r="B372" t="str">
            <v>C604</v>
          </cell>
          <cell r="C372" t="str">
            <v>090</v>
          </cell>
          <cell r="D372" t="str">
            <v>C604090_1</v>
          </cell>
          <cell r="E372" t="str">
            <v>CYP604BloodSpotResult</v>
          </cell>
          <cell r="F372" t="str">
            <v>NEWBORN BLOOD SPOT TEST OUTCOME STATUS CODE (MAPLE SYRUP URINE DISEASE)</v>
          </cell>
          <cell r="G372">
            <v>0</v>
          </cell>
          <cell r="H372">
            <v>371</v>
          </cell>
          <cell r="I372" t="str">
            <v>Result of screening for MSUD</v>
          </cell>
          <cell r="J372" t="str">
            <v>an2</v>
          </cell>
          <cell r="K372" t="str">
            <v>N/A</v>
          </cell>
          <cell r="L372" t="str">
            <v>Reject</v>
          </cell>
          <cell r="M372" t="str">
            <v>Warning</v>
          </cell>
          <cell r="N372" t="str">
            <v>If Newborn Blood Spot Test Outcome Status Code (Maple Syrup Urine Disease) is populated and Newborn Blood Spot Test Result Received Date is blank, then a warning will be generated.</v>
          </cell>
          <cell r="O372">
            <v>1.4</v>
          </cell>
          <cell r="P372" t="str">
            <v>To monitor the outcomes for those babies referred from Newborn Hearing Screening, Blood Spot Screening and Newborn and 6-8 week physical screening</v>
          </cell>
          <cell r="Q372" t="str">
            <v>R</v>
          </cell>
          <cell r="R372">
            <v>3</v>
          </cell>
          <cell r="S372" t="str">
            <v>CYP60421 - Record rejected - Newborn Blood Spot Test Outcome Status Code (Maple Syrup Urine Disease) has incorrect data format. Local Patient Identifier (Extended)=&lt;C604901&gt;
CYP60422 - Warning - Newborn Blood Spot Test Outcome Status Code (Maple Syrup Urine Disease) contains an invalid Newborn Blood Spot Test Outcome Status Code (Maple Syrup Urine Disease). Local Patient Identifier (Extended)=&lt;C604901&gt; Newborn Blood Spot Test Outcome Status Code (Maple Syrup Urine Disease)=&lt;C604090&gt;
CYP60437 - Warning - Newborn Blood Spot Test Outcome Status Code (Maple Syrup Urine Disease) is populated but Newborn Blood Spot Test Result Received Date is blank. Local Patient Identifier (Extended)=&lt;C604901&gt;</v>
          </cell>
        </row>
        <row r="373">
          <cell r="A373" t="str">
            <v>C604100</v>
          </cell>
          <cell r="B373" t="str">
            <v>C604</v>
          </cell>
          <cell r="C373" t="str">
            <v>100</v>
          </cell>
          <cell r="D373" t="str">
            <v>C604100_1</v>
          </cell>
          <cell r="E373" t="str">
            <v>CYP604BloodSpotResult</v>
          </cell>
          <cell r="F373" t="str">
            <v>NEWBORN BLOOD SPOT TEST OUTCOME STATUS CODE (GLUTARIC ACIDURIA TYPE 1)</v>
          </cell>
          <cell r="G373">
            <v>0</v>
          </cell>
          <cell r="H373">
            <v>372</v>
          </cell>
          <cell r="I373" t="str">
            <v>Result of screening for GA1</v>
          </cell>
          <cell r="J373" t="str">
            <v>an2</v>
          </cell>
          <cell r="K373" t="str">
            <v>N/A</v>
          </cell>
          <cell r="L373" t="str">
            <v>Reject</v>
          </cell>
          <cell r="M373" t="str">
            <v>Warning</v>
          </cell>
          <cell r="N373" t="str">
            <v>If Newborn Blood Spot Test Outcome Status Code (Glutaric Aciduria Type 1) is populated and Newborn Blood Spot Test Result Received Date is blank, then a warning will be generated.</v>
          </cell>
          <cell r="O373">
            <v>1.4</v>
          </cell>
          <cell r="P373" t="str">
            <v>To monitor the outcomes for those babies referred from Newborn Hearing Screening, Blood Spot Screening and Newborn and 6-8 week physical screening</v>
          </cell>
          <cell r="Q373" t="str">
            <v>R</v>
          </cell>
          <cell r="R373">
            <v>3</v>
          </cell>
          <cell r="S373" t="str">
            <v>CYP60423 - Record rejected - Newborn Blood Spot Test Outcome Status Code (Glutaric Aciduria Type 1) has incorrect data format. Local Patient Identifier (Extended)=&lt;C604901&gt;
CYP60424 - Warning - Newborn Blood Spot Test Outcome Status Code (Glutaric Aciduria Type 1) contains an invalid Newborn Blood Spot Test Outcome Status Code (Glutaric Aciduria Type 1). Local Patient Identifier (Extended)=&lt;C604901&gt; Newborn Blood Spot Test Outcome Status Code (Glutaric Aciduria Type 1)=&lt;C604100&gt;
CYP60438 - Warning - Newborn Blood Spot Test Outcome Status Code (Glutaric Aciduria Type 1) is populated but Newborn Blood Spot Test Result Received Date is blank. Local Patient Identifier (Extended)=&lt;C604901&gt;</v>
          </cell>
        </row>
        <row r="374">
          <cell r="A374" t="str">
            <v>C604110</v>
          </cell>
          <cell r="B374" t="str">
            <v>C604</v>
          </cell>
          <cell r="C374" t="str">
            <v>110</v>
          </cell>
          <cell r="D374" t="str">
            <v>C604110_1</v>
          </cell>
          <cell r="E374" t="str">
            <v>CYP604BloodSpotResult</v>
          </cell>
          <cell r="F374" t="str">
            <v>NEWBORN BLOOD SPOT TEST OUTCOME STATUS CODE (ISOVALERIC ACIDURIA)</v>
          </cell>
          <cell r="G374">
            <v>0</v>
          </cell>
          <cell r="H374">
            <v>373</v>
          </cell>
          <cell r="I374" t="str">
            <v>Result of screening for IVA</v>
          </cell>
          <cell r="J374" t="str">
            <v>an2</v>
          </cell>
          <cell r="K374" t="str">
            <v>N/A</v>
          </cell>
          <cell r="L374" t="str">
            <v>Reject</v>
          </cell>
          <cell r="M374" t="str">
            <v>Warning</v>
          </cell>
          <cell r="N374" t="str">
            <v>If Newborn Blood Spot Test Outcome Status Code (Isovaleric Aciduria) is populated and Newborn Blood Spot Test Result Received Date is blank, then a warning will be generated.</v>
          </cell>
          <cell r="O374">
            <v>1.4</v>
          </cell>
          <cell r="P374" t="str">
            <v>To monitor the outcomes for those babies referred from Newborn Hearing Screening, Blood Spot Screening and Newborn and 6-8 week physical screening</v>
          </cell>
          <cell r="Q374" t="str">
            <v>R</v>
          </cell>
          <cell r="R374">
            <v>3</v>
          </cell>
          <cell r="S374" t="str">
            <v>CYP60425 - Record rejected - Newborn Blood Spot Test Outcome Status Code (Isovaleric Aciduria) has incorrect data format. Local Patient Identifier (Extended)=&lt;C604901&gt;
CYP60426 - Warning - Newborn Blood Spot Test Outcome Status Code (Isovaleric Aciduria) contains an invalid Newborn Blood Spot Test Outcome Status Code (Isovaleric Aciduria). Local Patient Identifier (Extended)=&lt;C604901&gt; Newborn Blood Spot Test Outcome Status Code (Isovaleric Aciduria)=&lt;C604110&gt;
CYP60439 - Warning - Newborn Blood Spot Test Outcome Status Code (Isovaleric Aciduria) is populated but Newborn Blood Spot Test Result Received Date is blank. Local Patient Identifier (Extended)=&lt;C604901&gt;</v>
          </cell>
        </row>
        <row r="375">
          <cell r="A375" t="str">
            <v>C604D01</v>
          </cell>
          <cell r="E375" t="str">
            <v>CYP604BloodSpotResult</v>
          </cell>
          <cell r="F375" t="str">
            <v>RECORD NUMBER</v>
          </cell>
          <cell r="G375">
            <v>1</v>
          </cell>
          <cell r="H375">
            <v>374</v>
          </cell>
          <cell r="I375" t="str">
            <v>Record number in this extract file.</v>
          </cell>
          <cell r="J375" t="str">
            <v>max n6</v>
          </cell>
        </row>
        <row r="376">
          <cell r="A376" t="str">
            <v>C604D02</v>
          </cell>
          <cell r="E376" t="str">
            <v>CYP604BloodSpotResult</v>
          </cell>
          <cell r="F376" t="str">
            <v>CYP604 UNIQUE ID</v>
          </cell>
          <cell r="G376">
            <v>1</v>
          </cell>
          <cell r="H376">
            <v>375</v>
          </cell>
          <cell r="I376" t="str">
            <v>A unique ID per table.  This continues across reporting periods and across providers.  This uniquely identifies a row of data within a table.</v>
          </cell>
          <cell r="J376" t="str">
            <v>min n6 max n20</v>
          </cell>
        </row>
        <row r="377">
          <cell r="A377" t="str">
            <v>C604D03</v>
          </cell>
          <cell r="E377" t="str">
            <v>CYP604BloodSpotResult</v>
          </cell>
          <cell r="F377" t="str">
            <v>ORGANISATION CODE (PROVIDER)</v>
          </cell>
          <cell r="G377">
            <v>1</v>
          </cell>
          <cell r="H377">
            <v>376</v>
          </cell>
          <cell r="I377" t="str">
            <v>Organisation code of provider submitting the data.</v>
          </cell>
          <cell r="J377" t="str">
            <v>max an6</v>
          </cell>
        </row>
        <row r="378">
          <cell r="A378" t="str">
            <v>C604D04</v>
          </cell>
          <cell r="E378" t="str">
            <v>CYP604BloodSpotResult</v>
          </cell>
          <cell r="F378" t="str">
            <v>UNIQUE CYPHS ID (PATIENT)</v>
          </cell>
          <cell r="G378">
            <v>1</v>
          </cell>
          <cell r="H378">
            <v>377</v>
          </cell>
          <cell r="I378" t="str">
            <v>A nationally unique ID for the patient in the CYPHS Data Set generated from an index held by the BSP.</v>
          </cell>
          <cell r="J378" t="str">
            <v>max n10</v>
          </cell>
        </row>
        <row r="379">
          <cell r="A379" t="str">
            <v>C604D05</v>
          </cell>
          <cell r="E379" t="str">
            <v>CYP604BloodSpotResult</v>
          </cell>
          <cell r="F379" t="str">
            <v>BSP UNIQUE ID</v>
          </cell>
          <cell r="G379">
            <v>1</v>
          </cell>
          <cell r="H379">
            <v>378</v>
          </cell>
          <cell r="I379" t="str">
            <v xml:space="preserve">A unique ID applied when original data file was uploaded to the Bureau Service Portal. Where a single upload is used to provide data for different reporting periods, there will be a separate BSPUniqueID assigned to each reporting period.  </v>
          </cell>
          <cell r="J379" t="str">
            <v>max n6</v>
          </cell>
        </row>
        <row r="380">
          <cell r="A380" t="str">
            <v>C604D06</v>
          </cell>
          <cell r="E380" t="str">
            <v>CYP604BloodSpotResult</v>
          </cell>
          <cell r="F380" t="str">
            <v>AGE AT BLOOD SPOT COMPLETION DATE</v>
          </cell>
          <cell r="G380">
            <v>1</v>
          </cell>
          <cell r="H380">
            <v>379</v>
          </cell>
          <cell r="I380" t="str">
            <v>Age at Blood Spot Completion Date</v>
          </cell>
          <cell r="J380" t="str">
            <v>max n2</v>
          </cell>
        </row>
        <row r="381">
          <cell r="A381" t="str">
            <v>C604D07</v>
          </cell>
          <cell r="E381" t="str">
            <v>CYP604BloodSpotResult</v>
          </cell>
          <cell r="F381" t="str">
            <v>TIME TAKEN TO RECEIVE BLOOD SPOT RESULT</v>
          </cell>
          <cell r="G381">
            <v>1</v>
          </cell>
          <cell r="H381">
            <v>380</v>
          </cell>
          <cell r="I381" t="str">
            <v>The length of time taken to receive the blood spot result from the date that the blood spot card was completed.</v>
          </cell>
          <cell r="J381" t="str">
            <v>max n2</v>
          </cell>
        </row>
        <row r="382">
          <cell r="A382" t="str">
            <v>C605901</v>
          </cell>
          <cell r="B382" t="str">
            <v>C605</v>
          </cell>
          <cell r="C382" t="str">
            <v>901</v>
          </cell>
          <cell r="D382" t="str">
            <v>901_15</v>
          </cell>
          <cell r="E382" t="str">
            <v>CYP605IPE</v>
          </cell>
          <cell r="F382" t="str">
            <v>LOCAL PATIENT IDENTIFIER (EXTENDED)</v>
          </cell>
          <cell r="G382">
            <v>0</v>
          </cell>
          <cell r="H382">
            <v>381</v>
          </cell>
          <cell r="I382" t="str">
            <v>This is a number used to identify a PATIENT uniquely within a Health Care Provider. It may be different from the PATIENT's casenote number and may be assigned automatically by the computer system.</v>
          </cell>
          <cell r="J382" t="str">
            <v>max an20</v>
          </cell>
          <cell r="K382" t="str">
            <v>Reject</v>
          </cell>
          <cell r="L382" t="str">
            <v>Reject</v>
          </cell>
          <cell r="M382" t="str">
            <v>N/A</v>
          </cell>
          <cell r="O382" t="str">
            <v>All to identify individual</v>
          </cell>
          <cell r="P382" t="str">
            <v>Used to uniquely identify an individual</v>
          </cell>
          <cell r="Q382" t="str">
            <v>M</v>
          </cell>
          <cell r="R382">
            <v>2</v>
          </cell>
          <cell r="S382" t="str">
            <v>CYP60505 - Record rejected - Local Patient Identifier (Extended) is blank.
CYP60506 - Record rejected - Local Patient Identifier (Extended) has incorrect data format.  Local Patient Identifier (Extended)=&lt;C605901&gt;</v>
          </cell>
        </row>
        <row r="383">
          <cell r="A383" t="str">
            <v>C605010</v>
          </cell>
          <cell r="B383" t="str">
            <v>C605</v>
          </cell>
          <cell r="C383" t="str">
            <v>010</v>
          </cell>
          <cell r="D383" t="str">
            <v>C605010_1</v>
          </cell>
          <cell r="E383" t="str">
            <v>CYP605IPE</v>
          </cell>
          <cell r="F383" t="str">
            <v>INFANT PHYSICAL EXAMINATION DATE</v>
          </cell>
          <cell r="G383">
            <v>0</v>
          </cell>
          <cell r="H383">
            <v>382</v>
          </cell>
          <cell r="I383" t="str">
            <v>The date that the PHYSICAL EXAMINATION of the INFANT took place</v>
          </cell>
          <cell r="J383" t="str">
            <v>an10
CCYY-MM-DD</v>
          </cell>
          <cell r="K383" t="str">
            <v>Reject</v>
          </cell>
          <cell r="L383" t="str">
            <v>Reject</v>
          </cell>
          <cell r="M383" t="str">
            <v>N/A</v>
          </cell>
          <cell r="O383" t="str">
            <v>All to analyse between the data item and other events</v>
          </cell>
          <cell r="P383" t="str">
            <v>Analysis of date differences</v>
          </cell>
          <cell r="Q383" t="str">
            <v>M</v>
          </cell>
          <cell r="R383">
            <v>2</v>
          </cell>
          <cell r="S383" t="str">
            <v xml:space="preserve">CYP60517 - Record rejected - Infant Physical Examination Date has incorrect data format. Local Patient Identifier (Extended)=&lt;C605901&gt;
CYP60518 - Record rejected - Infant Physical Examination Date is blank. Local Patient Identifier (Extended)=&lt;C605901&gt; </v>
          </cell>
        </row>
        <row r="384">
          <cell r="A384" t="str">
            <v>C605020</v>
          </cell>
          <cell r="B384" t="str">
            <v>C605</v>
          </cell>
          <cell r="C384" t="str">
            <v>020</v>
          </cell>
          <cell r="D384" t="str">
            <v>C605020_1</v>
          </cell>
          <cell r="E384" t="str">
            <v>CYP605IPE</v>
          </cell>
          <cell r="F384" t="str">
            <v>INFANT PHYSICAL EXAMINATION RESULT (HIPS)</v>
          </cell>
          <cell r="G384">
            <v>0</v>
          </cell>
          <cell r="H384">
            <v>383</v>
          </cell>
          <cell r="I384" t="str">
            <v>Whether or not a problem was detected or suspected with hips</v>
          </cell>
          <cell r="J384" t="str">
            <v>an2</v>
          </cell>
          <cell r="K384" t="str">
            <v>N/A</v>
          </cell>
          <cell r="L384" t="str">
            <v>Reject</v>
          </cell>
          <cell r="M384" t="str">
            <v>Warning</v>
          </cell>
          <cell r="O384">
            <v>1.4</v>
          </cell>
          <cell r="P384" t="str">
            <v>To monitor the outcomes for those babies referred from Newborn Hearing Screening, Blood Spot Screening and Newborn and physical screening</v>
          </cell>
          <cell r="Q384" t="str">
            <v>R</v>
          </cell>
          <cell r="R384">
            <v>2</v>
          </cell>
          <cell r="S384" t="str">
            <v>CYP60509 - Record rejected - Infant Physical Examination Result (Hips)has incorrect data format. Local Patient Identifier (Extended)=&lt;C605901&gt;
CYP60510 - Warning - Infant Physical Examination Result (Hips) contains an invalid Infant Physical Examination Result (Hips). Local Patient Identifier (Extended)=&lt;C605901&gt; Infant Physical Examination Result (Hips)=&lt;C605020&gt;</v>
          </cell>
        </row>
        <row r="385">
          <cell r="A385" t="str">
            <v>C605030</v>
          </cell>
          <cell r="B385" t="str">
            <v>C605</v>
          </cell>
          <cell r="C385" t="str">
            <v>030</v>
          </cell>
          <cell r="D385" t="str">
            <v>C605030_1</v>
          </cell>
          <cell r="E385" t="str">
            <v>CYP605IPE</v>
          </cell>
          <cell r="F385" t="str">
            <v>INFANT PHYSICAL EXAMINATION RESULT (HEART)</v>
          </cell>
          <cell r="G385">
            <v>0</v>
          </cell>
          <cell r="H385">
            <v>384</v>
          </cell>
          <cell r="I385" t="str">
            <v>Whether or not a problem was detected or suspected with the heart</v>
          </cell>
          <cell r="J385" t="str">
            <v>an2</v>
          </cell>
          <cell r="K385" t="str">
            <v>N/A</v>
          </cell>
          <cell r="L385" t="str">
            <v>Reject</v>
          </cell>
          <cell r="M385" t="str">
            <v>Warning</v>
          </cell>
          <cell r="O385">
            <v>1.4</v>
          </cell>
          <cell r="P385" t="str">
            <v>To monitor the outcomes for those babies referred from Newborn Hearing Screening, Blood Spot Screening and Newborn and physical screening</v>
          </cell>
          <cell r="Q385" t="str">
            <v>R</v>
          </cell>
          <cell r="R385">
            <v>2</v>
          </cell>
          <cell r="S385" t="str">
            <v>CYP60511 - Record rejected - Infant Physical Examination Result (Heart) has incorrect data format. Local Patient Identifier (Extended)=&lt;C605901&gt;
CYP60512 - Warning - Infant Physical Examination Result (Heart) contains an invalid Infant Physical Examination Result (Heart). Local Patient Identifier (Extended)=&lt;C605901&gt; Infant Physical Examination Result (Heart)=&lt;C605030&gt;</v>
          </cell>
        </row>
        <row r="386">
          <cell r="A386" t="str">
            <v>C605040</v>
          </cell>
          <cell r="B386" t="str">
            <v>C605</v>
          </cell>
          <cell r="C386" t="str">
            <v>040</v>
          </cell>
          <cell r="D386" t="str">
            <v>C605040_1</v>
          </cell>
          <cell r="E386" t="str">
            <v>CYP605IPE</v>
          </cell>
          <cell r="F386" t="str">
            <v>INFANT PHYSICAL EXAMINATION RESULT (EYES)</v>
          </cell>
          <cell r="G386">
            <v>0</v>
          </cell>
          <cell r="H386">
            <v>385</v>
          </cell>
          <cell r="I386" t="str">
            <v>Whether or not a problem was detected or suspected with the eyes</v>
          </cell>
          <cell r="J386" t="str">
            <v>an2</v>
          </cell>
          <cell r="K386" t="str">
            <v>N/A</v>
          </cell>
          <cell r="L386" t="str">
            <v>Reject</v>
          </cell>
          <cell r="M386" t="str">
            <v>Warning</v>
          </cell>
          <cell r="O386">
            <v>1.4</v>
          </cell>
          <cell r="P386" t="str">
            <v>To monitor the outcomes for those babies referred from Newborn Hearing Screening, Blood Spot Screening and Newborn and physical screening</v>
          </cell>
          <cell r="Q386" t="str">
            <v>R</v>
          </cell>
          <cell r="R386">
            <v>2</v>
          </cell>
          <cell r="S386" t="str">
            <v>CYP60513 - Record rejected - Infant Physical Examination Result (Eyes) has incorrect data format. Local Patient Identifier (Extended)=&lt;C605901&gt;
CYP60514 - Warning - Infant Physical Examination Result (Eyes) contains an invalid Infant Physical Examination Result (Eyes). Local Patient Identifier (Extended)=&lt;C605901&gt; Infant Physical Examination Result (Eyes)=&lt;C605040&gt;</v>
          </cell>
        </row>
        <row r="387">
          <cell r="A387" t="str">
            <v>C605050</v>
          </cell>
          <cell r="B387" t="str">
            <v>C605</v>
          </cell>
          <cell r="C387" t="str">
            <v>050</v>
          </cell>
          <cell r="D387" t="str">
            <v>C605050_1</v>
          </cell>
          <cell r="E387" t="str">
            <v>CYP605IPE</v>
          </cell>
          <cell r="F387" t="str">
            <v>INFANT PHYSICAL EXAMINATION RESULT (TESTES)</v>
          </cell>
          <cell r="G387">
            <v>0</v>
          </cell>
          <cell r="H387">
            <v>386</v>
          </cell>
          <cell r="I387" t="str">
            <v>Whether or not a problem was detected or suspected with the testes</v>
          </cell>
          <cell r="J387" t="str">
            <v>an2</v>
          </cell>
          <cell r="K387" t="str">
            <v>N/A</v>
          </cell>
          <cell r="L387" t="str">
            <v>Reject</v>
          </cell>
          <cell r="M387" t="str">
            <v>Warning</v>
          </cell>
          <cell r="N387" t="str">
            <v>If Infant Physical Examination Result is populated with a value other than NN, and Person Stated Gender Code is recorded as 02 (Female) then the record will be rejected.</v>
          </cell>
          <cell r="O387">
            <v>1.4</v>
          </cell>
          <cell r="P387" t="str">
            <v>To monitor the outcomes for those babies referred from Newborn Hearing Screening, Blood Spot Screening and Newborn and physical screening</v>
          </cell>
          <cell r="Q387" t="str">
            <v>R</v>
          </cell>
          <cell r="R387">
            <v>3</v>
          </cell>
          <cell r="S387" t="str">
            <v>CYP60515 - Record rejected - Infant Physical Examination Result (Testes) has incorrect data format. Local Patient Identifier (Extended)=&lt;C605901&gt;
CYP60516 - Warning - Infant Physical Examination Result (Testes) contains an invalid Infant Physical Examination Result (Testes). Local Patient Identifier (Extended)=&lt;C605901&gt; Infant Physical Examination Result (Testes)=&lt;C605050&gt;
CYP60519 - Record rejected - Infant Physical Examination Result (Testes) contains a value other than "NN", and Patient Stated Gender Code contains the value "Female". Local Patient Identifier (Extended)=&lt;C605901&gt; Infant Physical Examination Result (Testes)=&lt;C605050&gt; Patient Stated Gender Code =&lt;C001080&gt;</v>
          </cell>
        </row>
        <row r="388">
          <cell r="A388" t="str">
            <v>C605D01</v>
          </cell>
          <cell r="E388" t="str">
            <v>CYP605IPE</v>
          </cell>
          <cell r="F388" t="str">
            <v>RECORD NUMBER</v>
          </cell>
          <cell r="G388">
            <v>1</v>
          </cell>
          <cell r="H388">
            <v>387</v>
          </cell>
          <cell r="I388" t="str">
            <v>Record number in this extract file.</v>
          </cell>
          <cell r="J388" t="str">
            <v>max n6</v>
          </cell>
        </row>
        <row r="389">
          <cell r="A389" t="str">
            <v>C605D02</v>
          </cell>
          <cell r="E389" t="str">
            <v>CYP605IPE</v>
          </cell>
          <cell r="F389" t="str">
            <v>CYP605 UNIQUE ID</v>
          </cell>
          <cell r="G389">
            <v>1</v>
          </cell>
          <cell r="H389">
            <v>388</v>
          </cell>
          <cell r="I389" t="str">
            <v>A unique ID per table.  This continues across reporting periods and across providers.  This uniquely identifies a row of data within a table.</v>
          </cell>
          <cell r="J389" t="str">
            <v>min n6 max n20</v>
          </cell>
        </row>
        <row r="390">
          <cell r="A390" t="str">
            <v>C605D03</v>
          </cell>
          <cell r="E390" t="str">
            <v>CYP605IPE</v>
          </cell>
          <cell r="F390" t="str">
            <v>ORGANISATION CODE (PROVIDER)</v>
          </cell>
          <cell r="G390">
            <v>1</v>
          </cell>
          <cell r="H390">
            <v>389</v>
          </cell>
          <cell r="I390" t="str">
            <v>Organisation code of provider submitting the data.</v>
          </cell>
          <cell r="J390" t="str">
            <v>max an6</v>
          </cell>
        </row>
        <row r="391">
          <cell r="A391" t="str">
            <v>C605D04</v>
          </cell>
          <cell r="E391" t="str">
            <v>CYP605IPE</v>
          </cell>
          <cell r="F391" t="str">
            <v>UNIQUE CYPHS ID (PATIENT)</v>
          </cell>
          <cell r="G391">
            <v>1</v>
          </cell>
          <cell r="H391">
            <v>390</v>
          </cell>
          <cell r="I391" t="str">
            <v>A nationally unique ID for the patient in the CYPHS Data Set generated from an index held by the BSP.</v>
          </cell>
          <cell r="J391" t="str">
            <v>max n10</v>
          </cell>
        </row>
        <row r="392">
          <cell r="A392" t="str">
            <v>C605D05</v>
          </cell>
          <cell r="E392" t="str">
            <v>CYP605IPE</v>
          </cell>
          <cell r="F392" t="str">
            <v>BSP UNIQUE ID</v>
          </cell>
          <cell r="G392">
            <v>1</v>
          </cell>
          <cell r="H392">
            <v>391</v>
          </cell>
          <cell r="I392" t="str">
            <v xml:space="preserve">A unique ID applied when original data file was uploaded to the Bureau Service Portal. Where a single upload is used to provide data for different reporting periods, there will be a separate BSPUniqueID assigned to each reporting period.  </v>
          </cell>
          <cell r="J392" t="str">
            <v>max n6</v>
          </cell>
        </row>
        <row r="393">
          <cell r="A393" t="str">
            <v>C605D06</v>
          </cell>
          <cell r="E393" t="str">
            <v>CYP605IPE</v>
          </cell>
          <cell r="F393" t="str">
            <v>AGE AT 6-8 WEEK PHYSICAL  EXAMINATION</v>
          </cell>
          <cell r="G393">
            <v>1</v>
          </cell>
          <cell r="H393">
            <v>392</v>
          </cell>
          <cell r="I393" t="str">
            <v>Age at 6 to 8 Week Physical Examination</v>
          </cell>
          <cell r="J393" t="str">
            <v>max n2</v>
          </cell>
        </row>
        <row r="394">
          <cell r="A394" t="str">
            <v>C606902</v>
          </cell>
          <cell r="B394" t="str">
            <v>C606</v>
          </cell>
          <cell r="C394" t="str">
            <v>902</v>
          </cell>
          <cell r="D394" t="str">
            <v>902_7</v>
          </cell>
          <cell r="E394" t="str">
            <v>CYP606ProvDiag</v>
          </cell>
          <cell r="F394" t="str">
            <v>SERVICE REQUEST IDENTIFIER</v>
          </cell>
          <cell r="G394">
            <v>0</v>
          </cell>
          <cell r="H394">
            <v>393</v>
          </cell>
          <cell r="I394" t="str">
            <v>The unique identifier for a SERVICE REQUEST. 
It would normally be automatically generated by the local system upon recording a new Referral, although could be manually assigned.</v>
          </cell>
          <cell r="J394" t="str">
            <v>max an20</v>
          </cell>
          <cell r="K394" t="str">
            <v>Reject</v>
          </cell>
          <cell r="L394" t="str">
            <v>Reject</v>
          </cell>
          <cell r="M394" t="str">
            <v>N/A</v>
          </cell>
          <cell r="N394" t="str">
            <v>Field must contain SERVICE REQUEST IDENTIFIER as provided in the CYP101 or record will be rejected</v>
          </cell>
          <cell r="O394" t="str">
            <v>Linkage item</v>
          </cell>
          <cell r="P394" t="str">
            <v>Relationship key to allow data linkage between referral and activity (this will normally be the referral identifier).</v>
          </cell>
          <cell r="Q394" t="str">
            <v>M</v>
          </cell>
          <cell r="R394">
            <v>2</v>
          </cell>
          <cell r="S394" t="str">
            <v xml:space="preserve">CYP60603 - Record rejected - Service Request Identifier is blank.
CYP60604 - Record rejected - Service Request Identifier has incorrect data format. Service Request Identifier = &lt;C606902&gt; </v>
          </cell>
        </row>
        <row r="395">
          <cell r="A395" t="str">
            <v>C606913</v>
          </cell>
          <cell r="B395" t="str">
            <v>C606</v>
          </cell>
          <cell r="C395" t="str">
            <v>913</v>
          </cell>
          <cell r="D395" t="str">
            <v>913_2</v>
          </cell>
          <cell r="E395" t="str">
            <v>CYP606ProvDiag</v>
          </cell>
          <cell r="F395" t="str">
            <v>DIAGNOSIS SCHEME IN USE</v>
          </cell>
          <cell r="G395">
            <v>0</v>
          </cell>
          <cell r="H395">
            <v>394</v>
          </cell>
          <cell r="I395" t="str">
            <v>The code scheme basis of a diagnosis.</v>
          </cell>
          <cell r="J395" t="str">
            <v>an2</v>
          </cell>
          <cell r="K395" t="str">
            <v>Reject</v>
          </cell>
          <cell r="L395" t="str">
            <v>Reject</v>
          </cell>
          <cell r="M395" t="str">
            <v>Warning</v>
          </cell>
          <cell r="O395" t="str">
            <v>Used for analysis of data item</v>
          </cell>
          <cell r="P395" t="str">
            <v>To monitor data quality details of the diagnosis scheme</v>
          </cell>
          <cell r="Q395" t="str">
            <v>M</v>
          </cell>
          <cell r="R395">
            <v>3</v>
          </cell>
          <cell r="S395" t="str">
            <v>CYP60605 - Record rejected - Diagnosis Scheme In Use has incorrect data format. Service Request Identifier = &lt;C606902&gt; Local Patient Identifier (Extended)=&lt;C101901&gt;
CYP60606 - Warning - Diagnosis Scheme In Use contains an invalid Diagnosis Scheme In Use. Service Request Identifier = &lt;C606902&gt; Local Patient Identifier (Extended)=&lt;C101901&gt; Diagnosis Scheme In Use=&lt;C606913&gt;
CYP60613 - Record rejected - Diagnosis Scheme In Use is blank. Service Request Identifier = &lt;C606902&gt; Local Patient Identifier (Extended)=&lt;C101901&gt;</v>
          </cell>
        </row>
        <row r="396">
          <cell r="A396" t="str">
            <v>C606010</v>
          </cell>
          <cell r="B396" t="str">
            <v>C606</v>
          </cell>
          <cell r="C396" t="str">
            <v>010</v>
          </cell>
          <cell r="D396" t="str">
            <v>C606010_1</v>
          </cell>
          <cell r="E396" t="str">
            <v>CYP606ProvDiag</v>
          </cell>
          <cell r="F396" t="str">
            <v>PROVISIONAL DIAGNOSIS (CODED CLINICAL ENTRY)</v>
          </cell>
          <cell r="G396">
            <v>0</v>
          </cell>
          <cell r="H396">
            <v>395</v>
          </cell>
          <cell r="I396" t="str">
            <v xml:space="preserve">This is the provisional DIAGNOSIS of the child or young person, from a specific classification or clinical terminology, for the main condition treated or investigated during the relevant episode of healthcare.
</v>
          </cell>
          <cell r="J396" t="str">
            <v>min an4 max an18</v>
          </cell>
          <cell r="K396" t="str">
            <v>Reject</v>
          </cell>
          <cell r="L396" t="str">
            <v>Reject</v>
          </cell>
          <cell r="M396" t="str">
            <v>N/A</v>
          </cell>
          <cell r="O396" t="str">
            <v>All for analysis of the data item</v>
          </cell>
          <cell r="P396" t="str">
            <v>The analyse differences in the outcomes and activity depending on provisional diagnosis</v>
          </cell>
          <cell r="Q396" t="str">
            <v>M</v>
          </cell>
          <cell r="R396">
            <v>2</v>
          </cell>
          <cell r="S396" t="str">
            <v xml:space="preserve">CYP60607 - Record rejected - Provisional Diagnosis (Coded Clinical Entry) is blank. Service Request Identifier = &lt;C606902&gt; Local Patient Identifier (Extended)=&lt;C101901&gt;
CYP60608 - Record rejected - Provisional Diagnosis (Coded Clinical Entry) has incorrect data format. Service Request Identifier = &lt;C606902&gt; Local Patient Identifier (Extended)=&lt;C101901&gt; </v>
          </cell>
        </row>
        <row r="397">
          <cell r="A397" t="str">
            <v>C606020</v>
          </cell>
          <cell r="B397" t="str">
            <v>C606</v>
          </cell>
          <cell r="C397" t="str">
            <v>020</v>
          </cell>
          <cell r="D397" t="str">
            <v>C606020_1</v>
          </cell>
          <cell r="E397" t="str">
            <v>CYP606ProvDiag</v>
          </cell>
          <cell r="F397" t="str">
            <v>PROVISIONAL DIAGNOSIS DATE</v>
          </cell>
          <cell r="G397">
            <v>0</v>
          </cell>
          <cell r="H397">
            <v>396</v>
          </cell>
          <cell r="I397" t="str">
            <v>The date of diagnosis.</v>
          </cell>
          <cell r="J397" t="str">
            <v>an10
CCYY-MM-DD</v>
          </cell>
          <cell r="K397" t="str">
            <v>Warning</v>
          </cell>
          <cell r="L397" t="str">
            <v>Reject</v>
          </cell>
          <cell r="M397" t="str">
            <v>N/A</v>
          </cell>
          <cell r="N397" t="str">
            <v>If ProvisionalDiagnosisDate is populated and not within the referral period, a warning will be generated.</v>
          </cell>
          <cell r="O397" t="str">
            <v>All to analyse between the data item and other events</v>
          </cell>
          <cell r="P397" t="str">
            <v>Analysis of times differences</v>
          </cell>
          <cell r="Q397" t="str">
            <v>R</v>
          </cell>
          <cell r="R397">
            <v>3</v>
          </cell>
          <cell r="S397" t="str">
            <v>CYP60609 - Warning - Provisional Diagnosis Date is blank. Service Request Identifier = &lt;C606902&gt; Local Patient Identifier (Extended)=&lt;C101901&gt;
CYP60610 - Record rejected - Provisional Diagnosis Date has incorrect data format. Service Request Identifier = &lt;C606902&gt; Local Patient Identifier (Extended)=&lt;C101901&gt;
CYP60611 - Warning - Provisional Diagnosis Date is outside of the referral period. Service Request Identifier = &lt;C606902&gt; Local Patient Identifier (Extended)=&lt;C101901&gt; Provisional Diagnosis Date=&lt;C606020&gt;</v>
          </cell>
        </row>
        <row r="398">
          <cell r="A398" t="str">
            <v>C606D01</v>
          </cell>
          <cell r="E398" t="str">
            <v>CYP606ProvDiag</v>
          </cell>
          <cell r="F398" t="str">
            <v>RECORD NUMBER</v>
          </cell>
          <cell r="G398">
            <v>1</v>
          </cell>
          <cell r="H398">
            <v>397</v>
          </cell>
          <cell r="I398" t="str">
            <v>Record number in this extract file.</v>
          </cell>
          <cell r="J398" t="str">
            <v>max n6</v>
          </cell>
        </row>
        <row r="399">
          <cell r="A399" t="str">
            <v>C606D02</v>
          </cell>
          <cell r="E399" t="str">
            <v>CYP606ProvDiag</v>
          </cell>
          <cell r="F399" t="str">
            <v>CYP606 UNIQUE ID</v>
          </cell>
          <cell r="G399">
            <v>1</v>
          </cell>
          <cell r="H399">
            <v>398</v>
          </cell>
          <cell r="I399" t="str">
            <v>A unique ID per table.  This continues across reporting periods and across providers.  This uniquely identifies a row of data within a table.</v>
          </cell>
          <cell r="J399" t="str">
            <v>min n6 max n20</v>
          </cell>
        </row>
        <row r="400">
          <cell r="A400" t="str">
            <v>C606D03</v>
          </cell>
          <cell r="E400" t="str">
            <v>CYP606ProvDiag</v>
          </cell>
          <cell r="F400" t="str">
            <v>ORGANISATION CODE (PROVIDER)</v>
          </cell>
          <cell r="G400">
            <v>1</v>
          </cell>
          <cell r="H400">
            <v>399</v>
          </cell>
          <cell r="I400" t="str">
            <v>Organisation code of provider submitting the data.</v>
          </cell>
          <cell r="J400" t="str">
            <v>max an6</v>
          </cell>
        </row>
        <row r="401">
          <cell r="A401" t="str">
            <v>C606D04</v>
          </cell>
          <cell r="E401" t="str">
            <v>CYP606ProvDiag</v>
          </cell>
          <cell r="F401" t="str">
            <v>UNIQUE CYPHS ID (PATIENT)</v>
          </cell>
          <cell r="G401">
            <v>1</v>
          </cell>
          <cell r="H401">
            <v>400</v>
          </cell>
          <cell r="I401" t="str">
            <v>A nationally unique ID for the patient in the CYPHS Data Set generated from an index held by the BSP.</v>
          </cell>
          <cell r="J401" t="str">
            <v>max n10</v>
          </cell>
        </row>
        <row r="402">
          <cell r="A402" t="str">
            <v>C606D05</v>
          </cell>
          <cell r="E402" t="str">
            <v>CYP606ProvDiag</v>
          </cell>
          <cell r="F402" t="str">
            <v>BSP UNIQUE ID</v>
          </cell>
          <cell r="G402">
            <v>1</v>
          </cell>
          <cell r="H402">
            <v>401</v>
          </cell>
          <cell r="I402" t="str">
            <v xml:space="preserve">A unique ID applied when original data file was uploaded to the Bureau Service Portal. Where a single upload is used to provide data for different reporting periods, there will be a separate BSPUniqueID assigned to each reporting period.  </v>
          </cell>
          <cell r="J402" t="str">
            <v>max n6</v>
          </cell>
        </row>
        <row r="403">
          <cell r="A403" t="str">
            <v>C606D06</v>
          </cell>
          <cell r="E403" t="str">
            <v>CYP606ProvDiag</v>
          </cell>
          <cell r="F403" t="str">
            <v>UNIQUE SERVICE REQUEST IDENTIFIER</v>
          </cell>
          <cell r="G403">
            <v>1</v>
          </cell>
          <cell r="H403">
            <v>402</v>
          </cell>
          <cell r="I403" t="str">
            <v>To uniquely identify the referral</v>
          </cell>
          <cell r="J403" t="str">
            <v>max an26</v>
          </cell>
        </row>
        <row r="404">
          <cell r="A404" t="str">
            <v>C607902</v>
          </cell>
          <cell r="B404" t="str">
            <v>C607</v>
          </cell>
          <cell r="C404" t="str">
            <v>902</v>
          </cell>
          <cell r="D404" t="str">
            <v>902_8</v>
          </cell>
          <cell r="E404" t="str">
            <v>CYP607PrimDiag</v>
          </cell>
          <cell r="F404" t="str">
            <v>SERVICE REQUEST IDENTIFIER</v>
          </cell>
          <cell r="G404">
            <v>0</v>
          </cell>
          <cell r="H404">
            <v>403</v>
          </cell>
          <cell r="I404" t="str">
            <v>The unique identifier for a SERVICE REQUEST. 
It would normally be automatically generated by the local system upon recording a new Referral, although could be manually assigned.</v>
          </cell>
          <cell r="J404" t="str">
            <v>max an20</v>
          </cell>
          <cell r="K404" t="str">
            <v>Reject</v>
          </cell>
          <cell r="L404" t="str">
            <v>Reject</v>
          </cell>
          <cell r="M404" t="str">
            <v>N/A</v>
          </cell>
          <cell r="N404" t="str">
            <v>Field must contain SERVICE REQUEST IDENTIFIER as provided in the CYP101 or record will be rejected</v>
          </cell>
          <cell r="O404" t="str">
            <v>Linkage item</v>
          </cell>
          <cell r="P404" t="str">
            <v>Relationship key to allow link data linkage between referral and activity (this will normally be the referral identifier).</v>
          </cell>
          <cell r="Q404" t="str">
            <v>M</v>
          </cell>
          <cell r="R404">
            <v>2</v>
          </cell>
          <cell r="S404" t="str">
            <v xml:space="preserve">CYP60703 - Record rejected - Service Request Identifier is blank.
CYP60704 - Record rejected - Service Request Identifier has incorrect data format. Service Request Identifier = &lt;C607902&gt; </v>
          </cell>
        </row>
        <row r="405">
          <cell r="A405" t="str">
            <v>C607913</v>
          </cell>
          <cell r="B405" t="str">
            <v>C607</v>
          </cell>
          <cell r="C405" t="str">
            <v>913</v>
          </cell>
          <cell r="D405" t="str">
            <v>913_3</v>
          </cell>
          <cell r="E405" t="str">
            <v>CYP607PrimDiag</v>
          </cell>
          <cell r="F405" t="str">
            <v>DIAGNOSIS SCHEME IN USE</v>
          </cell>
          <cell r="G405">
            <v>0</v>
          </cell>
          <cell r="H405">
            <v>404</v>
          </cell>
          <cell r="I405" t="str">
            <v>The code scheme basis of a diagnosis.</v>
          </cell>
          <cell r="J405" t="str">
            <v>an2</v>
          </cell>
          <cell r="K405" t="str">
            <v>Reject</v>
          </cell>
          <cell r="L405" t="str">
            <v>Reject</v>
          </cell>
          <cell r="M405" t="str">
            <v>Warning</v>
          </cell>
          <cell r="O405" t="str">
            <v>Used for analysis of data item</v>
          </cell>
          <cell r="P405" t="str">
            <v>To monitor data quality details of the diagnosis scheme</v>
          </cell>
          <cell r="Q405" t="str">
            <v>M</v>
          </cell>
          <cell r="R405">
            <v>3</v>
          </cell>
          <cell r="S405" t="str">
            <v xml:space="preserve">CYP60705 - Record rejected - Diagnosis Scheme In Use has incorrect data format. Service Request Identifier = &lt;C607902&gt; Local Patient Identifier (Extended)=&lt;C101901&gt; 
CYP60706 - Warning - Diagnosis Scheme In Use contains an invalid Diagnosis Scheme In Use. Service Request Identifier = &lt;C607902&gt; Local Patient Identifier (Extended)=&lt;C101901&gt; Diagnosis Scheme In Use =&lt;C607913&gt;
CYP60713 - Record rejected - Diagnosis Scheme In Use is blank. Service Request Identifier = &lt;C607902&gt;  Local Patient Identifier (Extended)=&lt;C101901&gt; </v>
          </cell>
        </row>
        <row r="406">
          <cell r="A406" t="str">
            <v>C607010</v>
          </cell>
          <cell r="B406" t="str">
            <v>C607</v>
          </cell>
          <cell r="C406" t="str">
            <v>010</v>
          </cell>
          <cell r="D406" t="str">
            <v>C607010_1</v>
          </cell>
          <cell r="E406" t="str">
            <v>CYP607PrimDiag</v>
          </cell>
          <cell r="F406" t="str">
            <v>PRIMARY DIAGNOSIS (CODED CLINICAL ENTRY)</v>
          </cell>
          <cell r="G406">
            <v>0</v>
          </cell>
          <cell r="H406">
            <v>405</v>
          </cell>
          <cell r="I406" t="str">
            <v xml:space="preserve">This is the primary diagnosis of the patient, from a specific classification or clinical terminology, for the main condition treated or investigated during the relevant episode of healthcare, and where there is no definitive diagnosis, the main symptom, abnormal findings or problem. 
 </v>
          </cell>
          <cell r="J406" t="str">
            <v>min an4 max an18</v>
          </cell>
          <cell r="K406" t="str">
            <v>Reject</v>
          </cell>
          <cell r="L406" t="str">
            <v>Reject</v>
          </cell>
          <cell r="M406" t="str">
            <v>N/A</v>
          </cell>
          <cell r="O406" t="str">
            <v>All for analysis of the data item</v>
          </cell>
          <cell r="P406" t="str">
            <v>The analyse differences in the outcomes and activity depending on primary diagnosis</v>
          </cell>
          <cell r="Q406" t="str">
            <v>M</v>
          </cell>
          <cell r="R406">
            <v>2</v>
          </cell>
          <cell r="S406" t="str">
            <v>CYP60707 - Record rejected - Primary Diagnosis (Coded Clinical Entry) is blank. Service Request Identifier = &lt;C607902&gt; Local Patient Identifier (Extended)=&lt;C101901&gt;  Diagnosis Date = &lt;C607020&gt;
CYP60708 - Record rejected - Primary Diagnosis (Coded Clinical Entry) has incorrect data format. Service Request Identifier = &lt;C607902&gt; Local Patient Identifier (Extended)=&lt;C101901&gt;  Primary Diagnosis (Coded Clinical Entry) = &lt;C607010&gt;</v>
          </cell>
        </row>
        <row r="407">
          <cell r="A407" t="str">
            <v>C607020</v>
          </cell>
          <cell r="B407" t="str">
            <v>C607</v>
          </cell>
          <cell r="C407" t="str">
            <v>020</v>
          </cell>
          <cell r="D407" t="str">
            <v>C607020_1</v>
          </cell>
          <cell r="E407" t="str">
            <v>CYP607PrimDiag</v>
          </cell>
          <cell r="F407" t="str">
            <v>DIAGNOSIS DATE</v>
          </cell>
          <cell r="G407">
            <v>0</v>
          </cell>
          <cell r="H407">
            <v>406</v>
          </cell>
          <cell r="I407" t="str">
            <v>The date of the primary diagnosis.</v>
          </cell>
          <cell r="J407" t="str">
            <v>an10
CCYY-MM-DD</v>
          </cell>
          <cell r="K407" t="str">
            <v>Warning</v>
          </cell>
          <cell r="L407" t="str">
            <v>Reject</v>
          </cell>
          <cell r="M407" t="str">
            <v>N/A</v>
          </cell>
          <cell r="O407" t="str">
            <v>All to analyse between the data item and other events</v>
          </cell>
          <cell r="P407" t="str">
            <v>Analysis of times differences</v>
          </cell>
          <cell r="Q407" t="str">
            <v>R</v>
          </cell>
          <cell r="R407">
            <v>2</v>
          </cell>
          <cell r="S407" t="str">
            <v xml:space="preserve">CYP60709 - Warning - Diagnosis Date is blank. Service Request Identifier = &lt;C607902&gt; Local Patient Identifier (Extended)=&lt;C101901&gt; 
CYP60710 - Record rejected - Diagnosis Date has incorrect data format. Service Request Identifier = &lt;C607902&gt; Local Patient Identifier (Extended)=&lt;C101901&gt; </v>
          </cell>
        </row>
        <row r="408">
          <cell r="A408" t="str">
            <v>C607D01</v>
          </cell>
          <cell r="E408" t="str">
            <v>CYP607PrimDiag</v>
          </cell>
          <cell r="F408" t="str">
            <v>RECORD NUMBER</v>
          </cell>
          <cell r="G408">
            <v>1</v>
          </cell>
          <cell r="H408">
            <v>407</v>
          </cell>
          <cell r="I408" t="str">
            <v>Record number in this extract file.</v>
          </cell>
          <cell r="J408" t="str">
            <v>max n6</v>
          </cell>
        </row>
        <row r="409">
          <cell r="A409" t="str">
            <v>C607D02</v>
          </cell>
          <cell r="E409" t="str">
            <v>CYP607PrimDiag</v>
          </cell>
          <cell r="F409" t="str">
            <v>CYP607 UNIQUE ID</v>
          </cell>
          <cell r="G409">
            <v>1</v>
          </cell>
          <cell r="H409">
            <v>408</v>
          </cell>
          <cell r="I409" t="str">
            <v>A unique ID per table.  This continues across reporting periods and across providers.  This uniquely identifies a row of data within a table.</v>
          </cell>
          <cell r="J409" t="str">
            <v>min n6 max n20</v>
          </cell>
        </row>
        <row r="410">
          <cell r="A410" t="str">
            <v>C607D03</v>
          </cell>
          <cell r="E410" t="str">
            <v>CYP607PrimDiag</v>
          </cell>
          <cell r="F410" t="str">
            <v>ORGANISATION CODE (PROVIDER)</v>
          </cell>
          <cell r="G410">
            <v>1</v>
          </cell>
          <cell r="H410">
            <v>409</v>
          </cell>
          <cell r="I410" t="str">
            <v>Organisation code of provider submitting the data.</v>
          </cell>
          <cell r="J410" t="str">
            <v>max an6</v>
          </cell>
        </row>
        <row r="411">
          <cell r="A411" t="str">
            <v>C607D04</v>
          </cell>
          <cell r="E411" t="str">
            <v>CYP607PrimDiag</v>
          </cell>
          <cell r="F411" t="str">
            <v>UNIQUE CYPHS ID (PATIENT)</v>
          </cell>
          <cell r="G411">
            <v>1</v>
          </cell>
          <cell r="H411">
            <v>410</v>
          </cell>
          <cell r="I411" t="str">
            <v>A nationally unique ID for the patient in the CYPHS Data Set generated from an index held by the BSP.</v>
          </cell>
          <cell r="J411" t="str">
            <v>max n10</v>
          </cell>
        </row>
        <row r="412">
          <cell r="A412" t="str">
            <v>C607D05</v>
          </cell>
          <cell r="E412" t="str">
            <v>CYP607PrimDiag</v>
          </cell>
          <cell r="F412" t="str">
            <v>BSP UNIQUE ID</v>
          </cell>
          <cell r="G412">
            <v>1</v>
          </cell>
          <cell r="H412">
            <v>411</v>
          </cell>
          <cell r="I412" t="str">
            <v xml:space="preserve">A unique ID applied when original data file was uploaded to the Bureau Service Portal. Where a single upload is used to provide data for different reporting periods, there will be a separate BSPUniqueID assigned to each reporting period.  </v>
          </cell>
          <cell r="J412" t="str">
            <v>max n6</v>
          </cell>
        </row>
        <row r="413">
          <cell r="A413" t="str">
            <v>C607D06</v>
          </cell>
          <cell r="E413" t="str">
            <v>CYP607PrimDiag</v>
          </cell>
          <cell r="F413" t="str">
            <v>UNIQUE SERVICE REQUEST IDENTIFIER</v>
          </cell>
          <cell r="G413">
            <v>1</v>
          </cell>
          <cell r="H413">
            <v>412</v>
          </cell>
          <cell r="I413" t="str">
            <v>To uniquely identify the referral</v>
          </cell>
          <cell r="J413" t="str">
            <v>max an26</v>
          </cell>
        </row>
        <row r="414">
          <cell r="A414" t="str">
            <v>C608902</v>
          </cell>
          <cell r="B414" t="str">
            <v>C608</v>
          </cell>
          <cell r="C414" t="str">
            <v>902</v>
          </cell>
          <cell r="D414" t="str">
            <v>902_9</v>
          </cell>
          <cell r="E414" t="str">
            <v>CYP608SecDiag</v>
          </cell>
          <cell r="F414" t="str">
            <v>SERVICE REQUEST IDENTIFIER</v>
          </cell>
          <cell r="G414">
            <v>0</v>
          </cell>
          <cell r="H414">
            <v>413</v>
          </cell>
          <cell r="I414" t="str">
            <v>The unique identifier for a SERVICE REQUEST. 
It would normally be automatically generated by the local system upon recording a new Referral, although could be manually assigned.</v>
          </cell>
          <cell r="J414" t="str">
            <v>max an20</v>
          </cell>
          <cell r="K414" t="str">
            <v>Reject</v>
          </cell>
          <cell r="L414" t="str">
            <v>Reject</v>
          </cell>
          <cell r="M414" t="str">
            <v>N/A</v>
          </cell>
          <cell r="N414" t="str">
            <v>Field must contain SERVICE REQUEST IDENTIFIER as provided in the CYP101 or record will be rejected</v>
          </cell>
          <cell r="O414" t="str">
            <v>Linkage item</v>
          </cell>
          <cell r="P414" t="str">
            <v>Relationship key to allow link data linkage between referral and activity (this will normally be the referral identifier).</v>
          </cell>
          <cell r="Q414" t="str">
            <v>M</v>
          </cell>
          <cell r="R414">
            <v>2</v>
          </cell>
          <cell r="S414" t="str">
            <v xml:space="preserve">CYP60803 - Record rejected - Service Request Identifier is blank.
CYP60804 - Record rejected - Service Request Identifier has incorrect data format. Service Request Identifier = &lt;C608902&gt; </v>
          </cell>
        </row>
        <row r="415">
          <cell r="A415" t="str">
            <v>C608913</v>
          </cell>
          <cell r="B415" t="str">
            <v>C608</v>
          </cell>
          <cell r="C415" t="str">
            <v>913</v>
          </cell>
          <cell r="D415" t="str">
            <v>913_4</v>
          </cell>
          <cell r="E415" t="str">
            <v>CYP608SecDiag</v>
          </cell>
          <cell r="F415" t="str">
            <v>DIAGNOSIS SCHEME IN USE</v>
          </cell>
          <cell r="G415">
            <v>0</v>
          </cell>
          <cell r="H415">
            <v>414</v>
          </cell>
          <cell r="I415" t="str">
            <v>The code scheme basis of a diagnosis.</v>
          </cell>
          <cell r="J415" t="str">
            <v>an2</v>
          </cell>
          <cell r="K415" t="str">
            <v>Reject</v>
          </cell>
          <cell r="L415" t="str">
            <v>Reject</v>
          </cell>
          <cell r="M415" t="str">
            <v>Warning</v>
          </cell>
          <cell r="N415" t="str">
            <v xml:space="preserve">
</v>
          </cell>
          <cell r="O415" t="str">
            <v>Used for analysis of data item</v>
          </cell>
          <cell r="P415" t="str">
            <v>To monitor data quality details of the diagnosis scheme</v>
          </cell>
          <cell r="Q415" t="str">
            <v>M</v>
          </cell>
          <cell r="R415">
            <v>3</v>
          </cell>
          <cell r="S415" t="str">
            <v xml:space="preserve">CYP60805 - Record rejected - Diagnosis Scheme In Use has incorrect data format. Service Request Identifier = &lt;C608902&gt;  Local Patient Identifier (Extended)=&lt;C101901&gt; 
CYP60811 - Warning - Diagnosis Scheme In Use contains an invalid Diagnosis Scheme In Use. Service Request Identifier = &lt;C608902&gt; Local Patient Identifier (Extended)=&lt;C101901&gt; Diagnosis Scheme In Use =&lt;C608913&gt;
CYP60806 - Record rejected - Diagnosis Scheme In Use is blank. Service Request Identifier = &lt;C608902&gt; Local Patient Identifier (Extended)=&lt;C101901&gt; </v>
          </cell>
        </row>
        <row r="416">
          <cell r="A416" t="str">
            <v>C608010</v>
          </cell>
          <cell r="B416" t="str">
            <v>C608</v>
          </cell>
          <cell r="C416" t="str">
            <v>010</v>
          </cell>
          <cell r="D416" t="str">
            <v>C608010_1</v>
          </cell>
          <cell r="E416" t="str">
            <v>CYP608SecDiag</v>
          </cell>
          <cell r="F416" t="str">
            <v>SECONDARY DIAGNOSIS (CODED CLINICAL ENTRY)</v>
          </cell>
          <cell r="G416">
            <v>0</v>
          </cell>
          <cell r="H416">
            <v>415</v>
          </cell>
          <cell r="I416" t="str">
            <v>This is any other diagnosis other than the primary diagnosis, from a specific classification or clinical terminology.
Multiple Secondary Diagnoses may be recorded.</v>
          </cell>
          <cell r="J416" t="str">
            <v>min an4 max an18</v>
          </cell>
          <cell r="K416" t="str">
            <v>Reject</v>
          </cell>
          <cell r="L416" t="str">
            <v>Reject</v>
          </cell>
          <cell r="M416" t="str">
            <v>N/A</v>
          </cell>
          <cell r="O416" t="str">
            <v>All for analysis of the data item</v>
          </cell>
          <cell r="P416" t="str">
            <v>The analyse differences in the outcomes and activity depending on secondary</v>
          </cell>
          <cell r="Q416" t="str">
            <v>M</v>
          </cell>
          <cell r="R416">
            <v>2</v>
          </cell>
          <cell r="S416" t="str">
            <v xml:space="preserve">CYP60807 - Record rejected - Secondary Diagnosis (Coded Clinical Entry) is blank. Service Request Identifier = &lt;C608902&gt; Local Patient Identifier (Extended)=&lt;C101901&gt; Diagnosis Date = &lt;C608020&gt;
CYP60808 - Record rejected - Secondary Diagnosis (Coded Clinical Entry) has incorrect data format. Service Request Identifier = &lt;C608902&gt; Local Patient Identifier (Extended)=&lt;C101901&gt; </v>
          </cell>
        </row>
        <row r="417">
          <cell r="A417" t="str">
            <v>C608020</v>
          </cell>
          <cell r="B417" t="str">
            <v>C608</v>
          </cell>
          <cell r="C417" t="str">
            <v>020</v>
          </cell>
          <cell r="D417" t="str">
            <v>C608020_1</v>
          </cell>
          <cell r="E417" t="str">
            <v>CYP608SecDiag</v>
          </cell>
          <cell r="F417" t="str">
            <v>DIAGNOSIS DATE</v>
          </cell>
          <cell r="G417">
            <v>0</v>
          </cell>
          <cell r="H417">
            <v>416</v>
          </cell>
          <cell r="I417" t="str">
            <v>The date of the secondary diagnosis.</v>
          </cell>
          <cell r="J417" t="str">
            <v>an10
CCYY-MM-DD</v>
          </cell>
          <cell r="K417" t="str">
            <v>Warning</v>
          </cell>
          <cell r="L417" t="str">
            <v>Reject</v>
          </cell>
          <cell r="M417" t="str">
            <v>N/A</v>
          </cell>
          <cell r="O417" t="str">
            <v>All to analyse between the data item and other events</v>
          </cell>
          <cell r="P417" t="str">
            <v>Analysis of times differences</v>
          </cell>
          <cell r="Q417" t="str">
            <v>R</v>
          </cell>
          <cell r="R417">
            <v>2</v>
          </cell>
          <cell r="S417" t="str">
            <v xml:space="preserve">CYP60809 - Warning - Diagnosis Date is blank. Service Request Identifier = &lt;C608902&gt; Local Patient Identifier (Extended)=&lt;C101901&gt; 
CYP60810 - Record rejected - Diagnosis Date has incorrect data format. Service Request Identifier = &lt;C608902&gt; Local Patient Identifier (Extended)=&lt;C101901&gt; </v>
          </cell>
        </row>
        <row r="418">
          <cell r="A418" t="str">
            <v>C608D01</v>
          </cell>
          <cell r="E418" t="str">
            <v>CYP608SecDiag</v>
          </cell>
          <cell r="F418" t="str">
            <v>RECORD NUMBER</v>
          </cell>
          <cell r="G418">
            <v>1</v>
          </cell>
          <cell r="H418">
            <v>417</v>
          </cell>
          <cell r="I418" t="str">
            <v>Record number in this extract file.</v>
          </cell>
          <cell r="J418" t="str">
            <v>max n6</v>
          </cell>
        </row>
        <row r="419">
          <cell r="A419" t="str">
            <v>C608D02</v>
          </cell>
          <cell r="E419" t="str">
            <v>CYP608SecDiag</v>
          </cell>
          <cell r="F419" t="str">
            <v>CYP608 UNIQUE ID</v>
          </cell>
          <cell r="G419">
            <v>1</v>
          </cell>
          <cell r="H419">
            <v>418</v>
          </cell>
          <cell r="I419" t="str">
            <v>A unique ID per table.  This continues across reporting periods and across providers.  This uniquely identifies a row of data within a table.</v>
          </cell>
          <cell r="J419" t="str">
            <v>min n6 max n20</v>
          </cell>
        </row>
        <row r="420">
          <cell r="A420" t="str">
            <v>C608D03</v>
          </cell>
          <cell r="E420" t="str">
            <v>CYP608SecDiag</v>
          </cell>
          <cell r="F420" t="str">
            <v>ORGANISATION CODE (PROVIDER)</v>
          </cell>
          <cell r="G420">
            <v>1</v>
          </cell>
          <cell r="H420">
            <v>419</v>
          </cell>
          <cell r="I420" t="str">
            <v>Organisation code of provider submitting the data.</v>
          </cell>
          <cell r="J420" t="str">
            <v>max an6</v>
          </cell>
        </row>
        <row r="421">
          <cell r="A421" t="str">
            <v>C608D04</v>
          </cell>
          <cell r="E421" t="str">
            <v>CYP608SecDiag</v>
          </cell>
          <cell r="F421" t="str">
            <v>UNIQUE CYPHS ID (PATIENT)</v>
          </cell>
          <cell r="G421">
            <v>1</v>
          </cell>
          <cell r="H421">
            <v>420</v>
          </cell>
          <cell r="I421" t="str">
            <v>A nationally unique ID for the patient in the CYPHS Data Set generated from an index held by the BSP.</v>
          </cell>
          <cell r="J421" t="str">
            <v>max n10</v>
          </cell>
        </row>
        <row r="422">
          <cell r="A422" t="str">
            <v>C608D05</v>
          </cell>
          <cell r="E422" t="str">
            <v>CYP608SecDiag</v>
          </cell>
          <cell r="F422" t="str">
            <v>BSP UNIQUE ID</v>
          </cell>
          <cell r="G422">
            <v>1</v>
          </cell>
          <cell r="H422">
            <v>421</v>
          </cell>
          <cell r="I422" t="str">
            <v xml:space="preserve">A unique ID applied when original data file was uploaded to the Bureau Service Portal. Where a single upload is used to provide data for different reporting periods, there will be a separate BSPUniqueID assigned to each reporting period.  </v>
          </cell>
          <cell r="J422" t="str">
            <v>max n6</v>
          </cell>
        </row>
        <row r="423">
          <cell r="A423" t="str">
            <v>C608D06</v>
          </cell>
          <cell r="E423" t="str">
            <v>CYP608SecDiag</v>
          </cell>
          <cell r="F423" t="str">
            <v>UNIQUE SERVICE REQUEST IDENTIFIER</v>
          </cell>
          <cell r="G423">
            <v>1</v>
          </cell>
          <cell r="H423">
            <v>422</v>
          </cell>
          <cell r="I423" t="str">
            <v>To uniquely identify the referral</v>
          </cell>
          <cell r="J423" t="str">
            <v>max an26</v>
          </cell>
        </row>
        <row r="424">
          <cell r="A424" t="str">
            <v>C609902</v>
          </cell>
          <cell r="B424" t="str">
            <v>C609</v>
          </cell>
          <cell r="C424" t="str">
            <v>902</v>
          </cell>
          <cell r="D424" t="str">
            <v>902_10</v>
          </cell>
          <cell r="E424" t="str">
            <v>CYP609CodedAssessmentReferral</v>
          </cell>
          <cell r="F424" t="str">
            <v>SERVICE REQUEST IDENTIFIER</v>
          </cell>
          <cell r="G424">
            <v>0</v>
          </cell>
          <cell r="H424">
            <v>423</v>
          </cell>
          <cell r="I424" t="str">
            <v>The unique identifier for a SERVICE REQUEST. 
It would normally be automatically generated by the local system upon recording a new Referral, although could be manually assigned.</v>
          </cell>
          <cell r="J424" t="str">
            <v>max an20</v>
          </cell>
          <cell r="K424" t="str">
            <v>Reject</v>
          </cell>
          <cell r="L424" t="str">
            <v>Reject</v>
          </cell>
          <cell r="M424" t="str">
            <v>N/A</v>
          </cell>
          <cell r="N424" t="str">
            <v>Field must contain SERVICE REQUEST IDENTIFIER as provided in the CYP101 or record will be rejected</v>
          </cell>
          <cell r="O424" t="str">
            <v>Linkage item</v>
          </cell>
          <cell r="P424" t="str">
            <v>Relationship key to allow link data linkage between referral and activity (this will normally be the referral identifier).</v>
          </cell>
          <cell r="Q424" t="str">
            <v>M</v>
          </cell>
          <cell r="R424">
            <v>2</v>
          </cell>
          <cell r="S424" t="str">
            <v>CYP60904 - Record rejected - Service Request Identifier is blank.
CYP60905 - Record rejected - Service Request Identifier has incorrect data format. Service Request Identifier = &lt;C609902&gt;</v>
          </cell>
        </row>
        <row r="425">
          <cell r="A425" t="str">
            <v>C609910</v>
          </cell>
          <cell r="B425" t="str">
            <v>C609</v>
          </cell>
          <cell r="C425" t="str">
            <v>910</v>
          </cell>
          <cell r="D425" t="str">
            <v>910_1</v>
          </cell>
          <cell r="E425" t="str">
            <v>CYP609CodedAssessmentReferral</v>
          </cell>
          <cell r="F425" t="str">
            <v>CODED ASSESSMENT TOOL TYPE (SNOMED CT)</v>
          </cell>
          <cell r="G425">
            <v>0</v>
          </cell>
          <cell r="H425">
            <v>424</v>
          </cell>
          <cell r="I425" t="str">
            <v>The SNOMED CT concept ID which is used to identify an ASSESSMENT in SNOMED CT.</v>
          </cell>
          <cell r="J425" t="str">
            <v>min an6 max an18</v>
          </cell>
          <cell r="K425" t="str">
            <v>Reject</v>
          </cell>
          <cell r="L425" t="str">
            <v>Reject</v>
          </cell>
          <cell r="M425" t="str">
            <v>N/A</v>
          </cell>
          <cell r="O425" t="str">
            <v>Used for analysis of data item</v>
          </cell>
          <cell r="P425" t="str">
            <v>To monitor outcomes and activites depending on Coded Assessments</v>
          </cell>
          <cell r="Q425" t="str">
            <v>M</v>
          </cell>
          <cell r="R425">
            <v>2</v>
          </cell>
          <cell r="S425" t="str">
            <v xml:space="preserve">CYP60906 - Record rejected - Coded Assessment Tool Type (SNOMED CT) is blank. Service Request Identifier = &lt;C609902&gt; Local Patient Identifier (Extended)=&lt;C101901&gt;  
CYP60907 - Record rejected - Coded Assessment Tool Type (SNOMED CT) has incorrect data format. Service Request Identifier = &lt;C609902&gt; Local Patient Identifier (Extended)=&lt;C101901&gt;  </v>
          </cell>
        </row>
        <row r="426">
          <cell r="A426" t="str">
            <v>C609911</v>
          </cell>
          <cell r="B426" t="str">
            <v>C609</v>
          </cell>
          <cell r="C426" t="str">
            <v>911</v>
          </cell>
          <cell r="D426" t="str">
            <v>911_1</v>
          </cell>
          <cell r="E426" t="str">
            <v>CYP609CodedAssessmentReferral</v>
          </cell>
          <cell r="F426" t="str">
            <v>PERSON SCORE</v>
          </cell>
          <cell r="G426">
            <v>0</v>
          </cell>
          <cell r="H426">
            <v>425</v>
          </cell>
          <cell r="I426" t="str">
            <v>The observable value (score) resulting from an ASSESSMENT.</v>
          </cell>
          <cell r="J426" t="str">
            <v>max an5</v>
          </cell>
          <cell r="K426" t="str">
            <v>Reject</v>
          </cell>
          <cell r="L426" t="str">
            <v>Reject</v>
          </cell>
          <cell r="M426" t="str">
            <v>Warning</v>
          </cell>
          <cell r="O426" t="str">
            <v>Used for analysis of data item</v>
          </cell>
          <cell r="P426" t="str">
            <v>To monitor outcomes and activites and quantify</v>
          </cell>
          <cell r="Q426" t="str">
            <v>M</v>
          </cell>
          <cell r="R426">
            <v>3</v>
          </cell>
          <cell r="S426" t="str">
            <v>CYP60908 - Record rejected - Person Score is blank. Service Request Identifier = &lt;C609902&gt; Local Patient Identifier (Extended)=&lt;C101901&gt; 
CYP60909 - Record rejected - Person Score has incorrect data format. Service Request Identifier = &lt;C609902&gt; Local Patient Identifier (Extended)=&lt;C101901&gt; 
CYP60912 - Warning - Person Score contains an invalid Person Score. Service Request Identifier = &lt;C609902&gt; Local Patient Identifier (Extended)=&lt;C101901&gt;  Person Score = &lt;C609911&gt;</v>
          </cell>
        </row>
        <row r="427">
          <cell r="A427" t="str">
            <v>C609D01</v>
          </cell>
          <cell r="E427" t="str">
            <v>CYP609CodedAssessmentReferral</v>
          </cell>
          <cell r="F427" t="str">
            <v>RECORD NUMBER</v>
          </cell>
          <cell r="G427">
            <v>1</v>
          </cell>
          <cell r="H427">
            <v>426</v>
          </cell>
          <cell r="I427" t="str">
            <v>Record number in this extract file.</v>
          </cell>
          <cell r="J427" t="str">
            <v>max n6</v>
          </cell>
        </row>
        <row r="428">
          <cell r="A428" t="str">
            <v>C609D02</v>
          </cell>
          <cell r="E428" t="str">
            <v>CYP609CodedAssessmentReferral</v>
          </cell>
          <cell r="F428" t="str">
            <v>CYP609 UNIQUE ID</v>
          </cell>
          <cell r="G428">
            <v>1</v>
          </cell>
          <cell r="H428">
            <v>427</v>
          </cell>
          <cell r="I428" t="str">
            <v>A unique ID per table.  This continues across reporting periods and across providers.  This uniquely identifies a row of data within a table.</v>
          </cell>
          <cell r="J428" t="str">
            <v>min n6 max n20</v>
          </cell>
        </row>
        <row r="429">
          <cell r="A429" t="str">
            <v>C609D03</v>
          </cell>
          <cell r="E429" t="str">
            <v>CYP609CodedAssessmentReferral</v>
          </cell>
          <cell r="F429" t="str">
            <v>ORGANISATION CODE (PROVIDER)</v>
          </cell>
          <cell r="G429">
            <v>1</v>
          </cell>
          <cell r="H429">
            <v>428</v>
          </cell>
          <cell r="I429" t="str">
            <v>Organisation code of provider submitting the data.</v>
          </cell>
          <cell r="J429" t="str">
            <v>max an6</v>
          </cell>
        </row>
        <row r="430">
          <cell r="A430" t="str">
            <v>C609D04</v>
          </cell>
          <cell r="E430" t="str">
            <v>CYP609CodedAssessmentReferral</v>
          </cell>
          <cell r="F430" t="str">
            <v>UNIQUE CYPHS ID (PATIENT)</v>
          </cell>
          <cell r="G430">
            <v>1</v>
          </cell>
          <cell r="H430">
            <v>429</v>
          </cell>
          <cell r="I430" t="str">
            <v>A nationally unique ID for the patient in the CYPHS Data Set generated from an index held by the BSP.</v>
          </cell>
          <cell r="J430" t="str">
            <v>max n10</v>
          </cell>
        </row>
        <row r="431">
          <cell r="A431" t="str">
            <v>C609D05</v>
          </cell>
          <cell r="E431" t="str">
            <v>CYP609CodedAssessmentReferral</v>
          </cell>
          <cell r="F431" t="str">
            <v>BSP UNIQUE ID</v>
          </cell>
          <cell r="G431">
            <v>1</v>
          </cell>
          <cell r="H431">
            <v>430</v>
          </cell>
          <cell r="I431" t="str">
            <v xml:space="preserve">A unique ID applied when original data file was uploaded to the Bureau Service Portal. Where a single upload is used to provide data for different reporting periods, there will be a separate BSPUniqueID assigned to each reporting period.  </v>
          </cell>
          <cell r="J431" t="str">
            <v>max n6</v>
          </cell>
        </row>
        <row r="432">
          <cell r="A432" t="str">
            <v>C609D06</v>
          </cell>
          <cell r="E432" t="str">
            <v>CYP609CodedAssessmentReferral</v>
          </cell>
          <cell r="F432" t="str">
            <v>UNIQUE SERVICE REQUEST IDENTIFIER</v>
          </cell>
          <cell r="G432">
            <v>1</v>
          </cell>
          <cell r="H432">
            <v>431</v>
          </cell>
          <cell r="I432" t="str">
            <v>To uniquely identify the referral</v>
          </cell>
          <cell r="J432" t="str">
            <v>max an26</v>
          </cell>
        </row>
        <row r="433">
          <cell r="A433" t="str">
            <v>C609D07</v>
          </cell>
          <cell r="E433" t="str">
            <v>CYP609CodedAssessmentReferral</v>
          </cell>
          <cell r="F433" t="str">
            <v>AGE AT  ASSESSMENT TOOL (REFERRAL) COMPLETION DATE</v>
          </cell>
          <cell r="G433">
            <v>1</v>
          </cell>
          <cell r="H433">
            <v>432</v>
          </cell>
          <cell r="I433" t="str">
            <v xml:space="preserve">Age of the patient when the Coded Scored Assessment Tool (Referral) was completed. </v>
          </cell>
          <cell r="J433" t="str">
            <v>max n2</v>
          </cell>
        </row>
        <row r="434">
          <cell r="A434" t="str">
            <v>C609010</v>
          </cell>
          <cell r="B434" t="str">
            <v>C609</v>
          </cell>
          <cell r="C434" t="str">
            <v>010</v>
          </cell>
          <cell r="D434" t="str">
            <v>C609010_1</v>
          </cell>
          <cell r="E434" t="str">
            <v>CYP609CodedAssessmentReferral</v>
          </cell>
          <cell r="F434" t="str">
            <v>ASSESSMENT TOOL COMPLETION DATE</v>
          </cell>
          <cell r="G434">
            <v>0</v>
          </cell>
          <cell r="H434">
            <v>433</v>
          </cell>
          <cell r="I434" t="str">
            <v>The date on which an assessment took place.</v>
          </cell>
          <cell r="J434" t="str">
            <v>an10
CCYY-MM-DD</v>
          </cell>
          <cell r="K434" t="str">
            <v>Warning</v>
          </cell>
          <cell r="L434" t="str">
            <v>Reject</v>
          </cell>
          <cell r="M434" t="str">
            <v>N/A</v>
          </cell>
          <cell r="O434" t="str">
            <v>All to analyse between the data item and other events</v>
          </cell>
          <cell r="P434" t="str">
            <v>Analysis of times differences</v>
          </cell>
          <cell r="Q434" t="str">
            <v>R</v>
          </cell>
          <cell r="R434">
            <v>2</v>
          </cell>
          <cell r="S434" t="str">
            <v xml:space="preserve">CYP60910 - Warning - Assessment Tool Completion Date is blank. Service Request Identifier = &lt;C609902&gt; Local Patient Identifier (Extended)=&lt;C101901&gt; 
CYP60911 - Record rejected - Assessment Tool Completion Date has incorrect data format. Service Request Identifier = &lt;C609902&gt; Local Patient Identifier (Extended)=&lt;C101901&gt; </v>
          </cell>
        </row>
        <row r="435">
          <cell r="A435" t="str">
            <v>C610904</v>
          </cell>
          <cell r="B435" t="str">
            <v>C610</v>
          </cell>
          <cell r="C435" t="str">
            <v>904</v>
          </cell>
          <cell r="D435" t="str">
            <v>904_2</v>
          </cell>
          <cell r="E435" t="str">
            <v>CYP610BreastfeedingStatus</v>
          </cell>
          <cell r="F435" t="str">
            <v>CARE ACTIVITY IDENTIFIER</v>
          </cell>
          <cell r="G435">
            <v>0</v>
          </cell>
          <cell r="H435">
            <v>434</v>
          </cell>
          <cell r="I435" t="str">
            <v>The unique identifier for a CARE ACTIVITY. 
It would normally be automatically generated by the local system upon recording a new activity, although could be manually assigned.</v>
          </cell>
          <cell r="J435" t="str">
            <v>max an20</v>
          </cell>
          <cell r="K435" t="str">
            <v>Reject</v>
          </cell>
          <cell r="L435" t="str">
            <v>Reject</v>
          </cell>
          <cell r="M435" t="str">
            <v>N/A</v>
          </cell>
          <cell r="O435" t="str">
            <v>Uniquely identify a care activity</v>
          </cell>
          <cell r="P435" t="str">
            <v>Required for reporting on Care Activities</v>
          </cell>
          <cell r="Q435" t="str">
            <v>M</v>
          </cell>
          <cell r="R435">
            <v>2</v>
          </cell>
          <cell r="S435" t="str">
            <v xml:space="preserve">CYP61003 - Record rejected - Care Activity Identifier is blank.
CYP61004 - Record rejected - Care Activity Identifier has incorrect data format. Care Activity Identifier=&lt;C610904&gt; </v>
          </cell>
        </row>
        <row r="436">
          <cell r="A436" t="str">
            <v>C610010</v>
          </cell>
          <cell r="B436" t="str">
            <v>C610</v>
          </cell>
          <cell r="C436" t="str">
            <v>010</v>
          </cell>
          <cell r="D436" t="str">
            <v>C610010_1</v>
          </cell>
          <cell r="E436" t="str">
            <v>CYP610BreastfeedingStatus</v>
          </cell>
          <cell r="F436" t="str">
            <v>BREASTFEEDING STATUS</v>
          </cell>
          <cell r="G436">
            <v>0</v>
          </cell>
          <cell r="H436">
            <v>435</v>
          </cell>
          <cell r="I436" t="str">
            <v>This is the type of feed a baby is receiving</v>
          </cell>
          <cell r="J436" t="str">
            <v>an2</v>
          </cell>
          <cell r="K436" t="str">
            <v>Reject</v>
          </cell>
          <cell r="L436" t="str">
            <v>Reject</v>
          </cell>
          <cell r="M436" t="str">
            <v>Warning</v>
          </cell>
          <cell r="O436" t="str">
            <v>1.8.1.1</v>
          </cell>
          <cell r="P436" t="str">
            <v>To monitor breastfeeding rates</v>
          </cell>
          <cell r="Q436" t="str">
            <v>M</v>
          </cell>
          <cell r="R436">
            <v>3</v>
          </cell>
          <cell r="S436" t="str">
            <v>CYP61005 - Record rejected - Breastfeeding Status is blank. Care Activity Identifier=&lt;C610904&gt; Care Contact Identifier=&lt;C202903&gt; Service Request Identifier=&lt;C201902&gt; Local Patient Identifier (Extended)=&lt;C101901&gt; 
CYP61006 - Record rejected - Breastfeeding Status has incorrect data format. Care Activity Identifier=&lt;C610904&gt; Care Contact Identifier=&lt;C202903&gt; Service Request Identifier=&lt;C201902&gt; Local Patient Identifier (Extended)=&lt;C101901&gt; 
CYP61007 - Warning - Breastfeeding Status contains an invalid Breastfeeding Status. Care Activity Identifier=&lt;C610904&gt; Care Contact Identifier=&lt;C202903&gt; Service Request Identifier=&lt;C201902&gt; Local Patient Identifier (Extended)=&lt;C101901&gt; Breastfeeding Status=&lt;C610010&gt;</v>
          </cell>
        </row>
        <row r="437">
          <cell r="A437" t="str">
            <v>C610D01</v>
          </cell>
          <cell r="E437" t="str">
            <v>CYP610BreastfeedingStatus</v>
          </cell>
          <cell r="F437" t="str">
            <v>RECORD NUMBER</v>
          </cell>
          <cell r="G437">
            <v>1</v>
          </cell>
          <cell r="H437">
            <v>436</v>
          </cell>
          <cell r="I437" t="str">
            <v>Record number in this extract file.</v>
          </cell>
          <cell r="J437" t="str">
            <v>max n6</v>
          </cell>
        </row>
        <row r="438">
          <cell r="A438" t="str">
            <v>C610D02</v>
          </cell>
          <cell r="E438" t="str">
            <v>CYP610BreastfeedingStatus</v>
          </cell>
          <cell r="F438" t="str">
            <v>CYP610 UNIQUE ID</v>
          </cell>
          <cell r="G438">
            <v>1</v>
          </cell>
          <cell r="H438">
            <v>437</v>
          </cell>
          <cell r="I438" t="str">
            <v>A unique ID per table.  This continues across reporting periods and across providers.  This uniquely identifies a row of data within a table.</v>
          </cell>
          <cell r="J438" t="str">
            <v>min n6 max n20</v>
          </cell>
        </row>
        <row r="439">
          <cell r="A439" t="str">
            <v>C610D03</v>
          </cell>
          <cell r="E439" t="str">
            <v>CYP610BreastfeedingStatus</v>
          </cell>
          <cell r="F439" t="str">
            <v>ORGANISATION CODE (PROVIDER)</v>
          </cell>
          <cell r="G439">
            <v>1</v>
          </cell>
          <cell r="H439">
            <v>438</v>
          </cell>
          <cell r="I439" t="str">
            <v>Organisation code of provider submitting the data.</v>
          </cell>
          <cell r="J439" t="str">
            <v>max an6</v>
          </cell>
        </row>
        <row r="440">
          <cell r="A440" t="str">
            <v>C610D04</v>
          </cell>
          <cell r="E440" t="str">
            <v>CYP610BreastfeedingStatus</v>
          </cell>
          <cell r="F440" t="str">
            <v>UNIQUE CYPHS ID (PATIENT)</v>
          </cell>
          <cell r="G440">
            <v>1</v>
          </cell>
          <cell r="H440">
            <v>439</v>
          </cell>
          <cell r="I440" t="str">
            <v>A nationally unique ID for the patient in the CYPHS Data Set generated from an index held by the BSP.</v>
          </cell>
          <cell r="J440" t="str">
            <v>max n10</v>
          </cell>
        </row>
        <row r="441">
          <cell r="A441" t="str">
            <v>C610D05</v>
          </cell>
          <cell r="E441" t="str">
            <v>CYP610BreastfeedingStatus</v>
          </cell>
          <cell r="F441" t="str">
            <v>BSP UNIQUE ID</v>
          </cell>
          <cell r="G441">
            <v>1</v>
          </cell>
          <cell r="H441">
            <v>440</v>
          </cell>
          <cell r="I441" t="str">
            <v xml:space="preserve">A unique ID applied when original data file was uploaded to the Bureau Service Portal. Where a single upload is used to provide data for different reporting periods, there will be a separate BSPUniqueID assigned to each reporting period.  </v>
          </cell>
          <cell r="J441" t="str">
            <v>max n6</v>
          </cell>
        </row>
        <row r="442">
          <cell r="A442" t="str">
            <v>C610D06</v>
          </cell>
          <cell r="E442" t="str">
            <v>CYP610BreastfeedingStatus</v>
          </cell>
          <cell r="F442" t="str">
            <v>UNIQUE CARE ACTIVITY IDENTIFIER</v>
          </cell>
          <cell r="G442">
            <v>1</v>
          </cell>
          <cell r="H442">
            <v>441</v>
          </cell>
          <cell r="I442" t="str">
            <v>To uniquely identify the activity</v>
          </cell>
          <cell r="J442" t="str">
            <v>max an26</v>
          </cell>
        </row>
        <row r="443">
          <cell r="A443" t="str">
            <v>C610D07</v>
          </cell>
          <cell r="E443" t="str">
            <v>CYP610BreastfeedingStatus</v>
          </cell>
          <cell r="F443" t="str">
            <v>AGE AT  BREASTFEEDING STATUS OBSERVATION DATE</v>
          </cell>
          <cell r="G443">
            <v>1</v>
          </cell>
          <cell r="H443">
            <v>442</v>
          </cell>
          <cell r="I443" t="str">
            <v>Age of the patient on the date Breastfeeding Status was observed as part of the Care Activity in CYP202.</v>
          </cell>
          <cell r="J443" t="str">
            <v>max n2</v>
          </cell>
        </row>
        <row r="444">
          <cell r="A444" t="str">
            <v>C611904</v>
          </cell>
          <cell r="B444" t="str">
            <v>C611</v>
          </cell>
          <cell r="C444" t="str">
            <v>904</v>
          </cell>
          <cell r="D444" t="str">
            <v>904_3</v>
          </cell>
          <cell r="E444" t="str">
            <v>CYP611Obs</v>
          </cell>
          <cell r="F444" t="str">
            <v>CARE ACTIVITY IDENTIFIER</v>
          </cell>
          <cell r="G444">
            <v>0</v>
          </cell>
          <cell r="H444">
            <v>443</v>
          </cell>
          <cell r="I444" t="str">
            <v>The unique identifier for a CARE ACTIVITY. 
It would normally be automatically generated by the local system upon recording a new activity, although could be manually assigned.</v>
          </cell>
          <cell r="J444" t="str">
            <v>max an20</v>
          </cell>
          <cell r="K444" t="str">
            <v>Reject</v>
          </cell>
          <cell r="L444" t="str">
            <v>Reject</v>
          </cell>
          <cell r="M444" t="str">
            <v>N/A</v>
          </cell>
          <cell r="N444" t="str">
            <v>If Care Activity Identifier is populated, then at least one of Person Weight, Person Height in Metres or Person Length in Centimeters should be populated.</v>
          </cell>
          <cell r="O444" t="str">
            <v>Uniquely identify a care activity</v>
          </cell>
          <cell r="P444" t="str">
            <v>Required for reporting on Care Activities</v>
          </cell>
          <cell r="Q444" t="str">
            <v>M</v>
          </cell>
          <cell r="R444">
            <v>3</v>
          </cell>
          <cell r="S444" t="str">
            <v xml:space="preserve">CYP61102 - Record rejected - Care Activity Identifier is blank.
CYP61103 - Record rejected - Care Activity Identifier has incorrect data format. Care Activity Identifier=&lt;C611904&gt; 
CYP61113 - Warning - Care Activity Identifier is populated, and Person Weight, Person Height In Metres and Person Length In Centimetres are all blank. Care Activity Identifier=&lt;C611904&gt; </v>
          </cell>
        </row>
        <row r="445">
          <cell r="A445" t="str">
            <v>C611010</v>
          </cell>
          <cell r="B445" t="str">
            <v>C611</v>
          </cell>
          <cell r="C445" t="str">
            <v>010</v>
          </cell>
          <cell r="D445" t="str">
            <v>C611010_1</v>
          </cell>
          <cell r="E445" t="str">
            <v>CYP611Obs</v>
          </cell>
          <cell r="F445" t="str">
            <v>PERSON WEIGHT</v>
          </cell>
          <cell r="G445">
            <v>0</v>
          </cell>
          <cell r="H445">
            <v>444</v>
          </cell>
          <cell r="I445" t="str">
            <v>PERSON WEIGHT is the result of the Clinical Investigation which measures the PATIENT's Weight, where the UNIT OF MEASUREMENT is 'Kilograms (kg)'.</v>
          </cell>
          <cell r="J445" t="str">
            <v>max n3.max n3</v>
          </cell>
          <cell r="K445" t="str">
            <v>N/A</v>
          </cell>
          <cell r="L445" t="str">
            <v>Reject</v>
          </cell>
          <cell r="M445" t="str">
            <v>N/A</v>
          </cell>
          <cell r="O445" t="str">
            <v>9.1.3.1</v>
          </cell>
          <cell r="P445" t="str">
            <v>To monitor whether or not a recent measurement had been taken when prescribing drugs by body weight.  Also to monitor obesity</v>
          </cell>
          <cell r="Q445" t="str">
            <v>R</v>
          </cell>
          <cell r="R445">
            <v>1</v>
          </cell>
          <cell r="S445" t="str">
            <v>CYP61104 - Record rejected - Person Weight has incorrect data format. Care Activity Identifier=&lt;C611904&gt; Care Contact Identifier=&lt;C202903&gt; Service Request Identifier=&lt;C201902&gt; Local Patient Identifier (Extended)=&lt;C101901&gt;</v>
          </cell>
        </row>
        <row r="446">
          <cell r="A446" t="str">
            <v>C611020</v>
          </cell>
          <cell r="B446" t="str">
            <v>C611</v>
          </cell>
          <cell r="C446" t="str">
            <v>020</v>
          </cell>
          <cell r="D446" t="str">
            <v>C611020_1</v>
          </cell>
          <cell r="E446" t="str">
            <v>CYP611Obs</v>
          </cell>
          <cell r="F446" t="str">
            <v>PERSON HEIGHT IN METRES</v>
          </cell>
          <cell r="G446">
            <v>0</v>
          </cell>
          <cell r="H446">
            <v>445</v>
          </cell>
          <cell r="I446" t="str">
            <v>PERSON HEIGHT IN METRES is the result of the Clinical Investigation which measures the PATIENT's Height, where the UNIT OF MEASUREMENT is 'Metres (m)'.</v>
          </cell>
          <cell r="J446" t="str">
            <v>n1.maxn2</v>
          </cell>
          <cell r="K446" t="str">
            <v>N/A</v>
          </cell>
          <cell r="L446" t="str">
            <v>Reject</v>
          </cell>
          <cell r="M446" t="str">
            <v>N/A</v>
          </cell>
          <cell r="N446" t="str">
            <v>If PersonHeightMetres is populated, PersonLengthCentimetres should be blank.</v>
          </cell>
          <cell r="O446" t="str">
            <v>9.1.3.1</v>
          </cell>
          <cell r="P446" t="str">
            <v>To monitor growth and obesity</v>
          </cell>
          <cell r="Q446" t="str">
            <v>R</v>
          </cell>
          <cell r="R446">
            <v>2</v>
          </cell>
          <cell r="S446" t="str">
            <v>CYP61105 - Record rejected - Person Height In Metres has incorrect data format. Care Activity Identifier=&lt;C611904&gt; Care Contact Identifier=&lt;C202903&gt; Service Request Identifier=&lt;C201902&gt; Local Patient Identifier (Extended)=&lt;C101901&gt;
CYP61111 - Record rejected - Person Height In Metres is populated and Person Length in Centimeters is not blank. Care Activity Identifier=&lt;C611904&gt; Care Contact Identifier=&lt;C202903&gt; Service Request Identifier=&lt;C201902&gt; Local Patient Identifier (Extended)=&lt;C101901&gt; Person Height In Metres = &lt;C611020&gt; Person Length in Centimeters = &lt;C611030&gt;</v>
          </cell>
        </row>
        <row r="447">
          <cell r="A447" t="str">
            <v>C611030</v>
          </cell>
          <cell r="B447" t="str">
            <v>C611</v>
          </cell>
          <cell r="C447" t="str">
            <v>030</v>
          </cell>
          <cell r="D447" t="str">
            <v>C611030_1</v>
          </cell>
          <cell r="E447" t="str">
            <v>CYP611Obs</v>
          </cell>
          <cell r="F447" t="str">
            <v xml:space="preserve">PERSON LENGTH IN CENTIMETRES </v>
          </cell>
          <cell r="G447">
            <v>0</v>
          </cell>
          <cell r="H447">
            <v>446</v>
          </cell>
          <cell r="I447" t="str">
            <v xml:space="preserve">PERSON LENGTH IN CENTIMETRES is the Length of the PATIENT, where the UNIT OF MEASUREMENT is 'Centimetres (cm)'. </v>
          </cell>
          <cell r="J447" t="str">
            <v>max n2.n1</v>
          </cell>
          <cell r="K447" t="str">
            <v>N/A</v>
          </cell>
          <cell r="L447" t="str">
            <v>Reject</v>
          </cell>
          <cell r="M447" t="str">
            <v>N/A</v>
          </cell>
          <cell r="N447" t="str">
            <v>If PersonLengthCentimetres is populated, PersonHeightMetres should be blank.</v>
          </cell>
          <cell r="O447" t="str">
            <v>9.1.3.1</v>
          </cell>
          <cell r="P447" t="str">
            <v>To monitor growth and obesity</v>
          </cell>
          <cell r="Q447" t="str">
            <v>R</v>
          </cell>
          <cell r="R447">
            <v>2</v>
          </cell>
          <cell r="S447" t="str">
            <v xml:space="preserve">CYP61106 - Record rejected - Person Length In Centimetres has incorrect data format. Care Activity Identifier=&lt;C611904&gt; Care Contact Identifier=&lt;C202903&gt; Service Request Identifier=&lt;C201902&gt; Local Patient Identifier (Extended)=&lt;C101901&gt;
CYP61112 - Record rejected - Person Length In Centimetres is populated and Person Height In Metres is not blank. Care Activity Identifier=&lt;C611904&gt; Care Contact Identifier=&lt;C202903&gt; Service Request Identifier=&lt;C201902&gt; Local Patient Identifier (Extended)=&lt;C101901&gt; Person Length in Centimeters = &lt;C611030&gt; Person Height In Metres = &lt;C611020&gt; </v>
          </cell>
        </row>
        <row r="448">
          <cell r="A448" t="str">
            <v>C611D01</v>
          </cell>
          <cell r="E448" t="str">
            <v>CYP611Obs</v>
          </cell>
          <cell r="F448" t="str">
            <v>RECORD NUMBER</v>
          </cell>
          <cell r="G448">
            <v>1</v>
          </cell>
          <cell r="H448">
            <v>447</v>
          </cell>
          <cell r="I448" t="str">
            <v>Record number in this extract file.</v>
          </cell>
          <cell r="J448" t="str">
            <v>max n6</v>
          </cell>
        </row>
        <row r="449">
          <cell r="A449" t="str">
            <v>C611D02</v>
          </cell>
          <cell r="E449" t="str">
            <v>CYP611Obs</v>
          </cell>
          <cell r="F449" t="str">
            <v>CYP611 UNIQUE ID</v>
          </cell>
          <cell r="G449">
            <v>1</v>
          </cell>
          <cell r="H449">
            <v>448</v>
          </cell>
          <cell r="I449" t="str">
            <v>A unique ID per table.  This continues across reporting periods and across providers.  This uniquely identifies a row of data within a table.</v>
          </cell>
          <cell r="J449" t="str">
            <v>min n6 max n20</v>
          </cell>
        </row>
        <row r="450">
          <cell r="A450" t="str">
            <v>C611D03</v>
          </cell>
          <cell r="E450" t="str">
            <v>CYP611Obs</v>
          </cell>
          <cell r="F450" t="str">
            <v>ORGANISATION CODE (PROVIDER)</v>
          </cell>
          <cell r="G450">
            <v>1</v>
          </cell>
          <cell r="H450">
            <v>449</v>
          </cell>
          <cell r="I450" t="str">
            <v>Organisation code of provider submitting the data.</v>
          </cell>
          <cell r="J450" t="str">
            <v>max an6</v>
          </cell>
        </row>
        <row r="451">
          <cell r="A451" t="str">
            <v>C611D04</v>
          </cell>
          <cell r="E451" t="str">
            <v>CYP611Obs</v>
          </cell>
          <cell r="F451" t="str">
            <v>UNIQUE CYPHS ID (PATIENT)</v>
          </cell>
          <cell r="G451">
            <v>1</v>
          </cell>
          <cell r="H451">
            <v>450</v>
          </cell>
          <cell r="I451" t="str">
            <v>A nationally unique ID for the patient in the CYPHS Data Set generated from an index held by the BSP.</v>
          </cell>
          <cell r="J451" t="str">
            <v>max n10</v>
          </cell>
        </row>
        <row r="452">
          <cell r="A452" t="str">
            <v>C611D05</v>
          </cell>
          <cell r="E452" t="str">
            <v>CYP611Obs</v>
          </cell>
          <cell r="F452" t="str">
            <v>BSP UNIQUE ID</v>
          </cell>
          <cell r="G452">
            <v>1</v>
          </cell>
          <cell r="H452">
            <v>451</v>
          </cell>
          <cell r="I452" t="str">
            <v xml:space="preserve">A unique ID applied when original data file was uploaded to the Bureau Service Portal. Where a single upload is used to provide data for different reporting periods, there will be a separate BSPUniqueID assigned to each reporting period.  </v>
          </cell>
          <cell r="J452" t="str">
            <v>max n6</v>
          </cell>
        </row>
        <row r="453">
          <cell r="A453" t="str">
            <v>C611D06</v>
          </cell>
          <cell r="E453" t="str">
            <v>CYP611Obs</v>
          </cell>
          <cell r="F453" t="str">
            <v>UNIQUE CARE ACTIVITY IDENTIFIER</v>
          </cell>
          <cell r="G453">
            <v>1</v>
          </cell>
          <cell r="H453">
            <v>452</v>
          </cell>
          <cell r="I453" t="str">
            <v>To uniquely identify the activity</v>
          </cell>
          <cell r="J453" t="str">
            <v>max an26</v>
          </cell>
        </row>
        <row r="454">
          <cell r="A454" t="str">
            <v>C611D07</v>
          </cell>
          <cell r="E454" t="str">
            <v>CYP611Obs</v>
          </cell>
          <cell r="F454" t="str">
            <v>BMI</v>
          </cell>
          <cell r="G454">
            <v>1</v>
          </cell>
          <cell r="H454">
            <v>453</v>
          </cell>
          <cell r="I454" t="str">
            <v>Body Mass Index</v>
          </cell>
          <cell r="J454" t="str">
            <v>max n2.n1</v>
          </cell>
        </row>
        <row r="455">
          <cell r="A455" t="str">
            <v>C611D08</v>
          </cell>
          <cell r="E455" t="str">
            <v>CYP611Obs</v>
          </cell>
          <cell r="F455" t="str">
            <v>BMI PERCENTILE</v>
          </cell>
          <cell r="G455">
            <v>1</v>
          </cell>
          <cell r="H455">
            <v>454</v>
          </cell>
          <cell r="I455" t="str">
            <v>Body Mass Index Percentile</v>
          </cell>
          <cell r="J455" t="str">
            <v>max n3</v>
          </cell>
        </row>
        <row r="456">
          <cell r="A456" t="str">
            <v>C611D09</v>
          </cell>
          <cell r="E456" t="str">
            <v>CYP611Obs</v>
          </cell>
          <cell r="F456" t="str">
            <v>BMI CATEGORY FROM POPULATION THRESHOLDS</v>
          </cell>
          <cell r="G456">
            <v>1</v>
          </cell>
          <cell r="H456">
            <v>455</v>
          </cell>
          <cell r="I456" t="str">
            <v>BMI Category from Population Thresholds</v>
          </cell>
          <cell r="J456" t="str">
            <v>max n3</v>
          </cell>
        </row>
        <row r="457">
          <cell r="A457" t="str">
            <v>C611D10</v>
          </cell>
          <cell r="E457" t="str">
            <v>CYP611Obs</v>
          </cell>
          <cell r="F457" t="str">
            <v>AGE AT BMI OBSERVATION</v>
          </cell>
          <cell r="G457">
            <v>1</v>
          </cell>
          <cell r="H457">
            <v>456</v>
          </cell>
          <cell r="I457" t="str">
            <v>Age of the young person at the time of the BMI Observation</v>
          </cell>
          <cell r="J457" t="str">
            <v>max n2</v>
          </cell>
        </row>
        <row r="458">
          <cell r="A458" t="str">
            <v>C611D11</v>
          </cell>
          <cell r="E458" t="str">
            <v>CYP611Obs</v>
          </cell>
          <cell r="F458" t="str">
            <v>SCHOOL YEAR AT BMI OBSERVATION</v>
          </cell>
          <cell r="G458">
            <v>1</v>
          </cell>
          <cell r="H458">
            <v>457</v>
          </cell>
          <cell r="I458" t="str">
            <v>School Year of the young person at the time of the BMI Observation</v>
          </cell>
          <cell r="J458" t="str">
            <v>max an2</v>
          </cell>
        </row>
        <row r="459">
          <cell r="A459" t="str">
            <v>C612904</v>
          </cell>
          <cell r="B459" t="str">
            <v>C612</v>
          </cell>
          <cell r="C459" t="str">
            <v>904</v>
          </cell>
          <cell r="D459" t="str">
            <v>904_4</v>
          </cell>
          <cell r="E459" t="str">
            <v>CYP612CodedAssessmentContact</v>
          </cell>
          <cell r="F459" t="str">
            <v>CARE ACTIVITY IDENTIFIER</v>
          </cell>
          <cell r="G459">
            <v>0</v>
          </cell>
          <cell r="H459">
            <v>458</v>
          </cell>
          <cell r="I459" t="str">
            <v>The unique identifier for a CARE ACTIVITY. 
It would normally be automatically generated by the local system upon recording a new activity, although could be manually assigned.</v>
          </cell>
          <cell r="J459" t="str">
            <v>max an20</v>
          </cell>
          <cell r="K459" t="str">
            <v>Reject</v>
          </cell>
          <cell r="L459" t="str">
            <v>Reject</v>
          </cell>
          <cell r="M459" t="str">
            <v>N/A</v>
          </cell>
          <cell r="O459" t="str">
            <v>Uniquely identify a care activity</v>
          </cell>
          <cell r="P459" t="str">
            <v>Required for reporting on Care Activities</v>
          </cell>
          <cell r="Q459" t="str">
            <v>M</v>
          </cell>
          <cell r="R459">
            <v>2</v>
          </cell>
          <cell r="S459" t="str">
            <v xml:space="preserve">CYP61202 - Record rejected - Care Activity Identifier is blank.
CYP61203 - Record rejected - Care Activity Identifier has incorrect data format. Care Activity Identifier=&lt;C612904&gt; </v>
          </cell>
        </row>
        <row r="460">
          <cell r="A460" t="str">
            <v>C612910</v>
          </cell>
          <cell r="B460" t="str">
            <v>C612</v>
          </cell>
          <cell r="C460" t="str">
            <v>910</v>
          </cell>
          <cell r="D460" t="str">
            <v>910_2</v>
          </cell>
          <cell r="E460" t="str">
            <v>CYP612CodedAssessmentContact</v>
          </cell>
          <cell r="F460" t="str">
            <v>CODED ASSESSMENT TOOL TYPE (SNOMED CT)</v>
          </cell>
          <cell r="G460">
            <v>0</v>
          </cell>
          <cell r="H460">
            <v>459</v>
          </cell>
          <cell r="I460" t="str">
            <v>The SNOMED CT concept ID which is used to identify an ASSESSMENT in SNOMED CT.</v>
          </cell>
          <cell r="J460" t="str">
            <v>min an6 max an18</v>
          </cell>
          <cell r="K460" t="str">
            <v>Reject</v>
          </cell>
          <cell r="L460" t="str">
            <v>Reject</v>
          </cell>
          <cell r="M460" t="str">
            <v>N/A</v>
          </cell>
          <cell r="O460" t="str">
            <v>Used for analysis of data item</v>
          </cell>
          <cell r="P460" t="str">
            <v>To monitor outcomes and activites depending on Coded Assessments</v>
          </cell>
          <cell r="Q460" t="str">
            <v>M</v>
          </cell>
          <cell r="R460">
            <v>2</v>
          </cell>
          <cell r="S460" t="str">
            <v xml:space="preserve">CYP61204 - Record rejected - Coded Assessment Tool Type (SNOMED CT) is blank. Care Activity Identifier=&lt;C612904&gt; Care Contact Identifier=&lt;C202903&gt; Service Request Identifier=&lt;C201902&gt; Local Patient Identifier (Extended)=&lt;C101901&gt; 
CYP61205 - Record rejected - Coded Assessment Tool Type (SNOMED CT) has incorrect data format. Care Activity Identifier=&lt;C612904&gt; Care Contact Identifier=&lt;C202903&gt; Service Request Identifier=&lt;C201902&gt; Local Patient Identifier (Extended)=&lt;C101901&gt; </v>
          </cell>
        </row>
        <row r="461">
          <cell r="A461" t="str">
            <v>C612911</v>
          </cell>
          <cell r="B461" t="str">
            <v>C612</v>
          </cell>
          <cell r="C461" t="str">
            <v>911</v>
          </cell>
          <cell r="D461" t="str">
            <v>911_2</v>
          </cell>
          <cell r="E461" t="str">
            <v>CYP612CodedAssessmentContact</v>
          </cell>
          <cell r="F461" t="str">
            <v>PERSON SCORE</v>
          </cell>
          <cell r="G461">
            <v>0</v>
          </cell>
          <cell r="H461">
            <v>460</v>
          </cell>
          <cell r="I461" t="str">
            <v>The observable value (score) resulting from an ASSESSMENT.</v>
          </cell>
          <cell r="J461" t="str">
            <v>max an5</v>
          </cell>
          <cell r="K461" t="str">
            <v>Reject</v>
          </cell>
          <cell r="L461" t="str">
            <v>Reject</v>
          </cell>
          <cell r="M461" t="str">
            <v>Warning</v>
          </cell>
          <cell r="O461" t="str">
            <v>Used for analysis of data item</v>
          </cell>
          <cell r="P461" t="str">
            <v>To monitor outcomes and activites and quantify</v>
          </cell>
          <cell r="Q461" t="str">
            <v>M</v>
          </cell>
          <cell r="R461">
            <v>3</v>
          </cell>
          <cell r="S461" t="str">
            <v>CYP61206 - Record rejected - Person Score is blank. Care Activity Identifier=&lt;C612904&gt; Care Contact Identifier=&lt;C202903&gt; Service Request Identifier=&lt;C201902&gt; Local Patient Identifier (Extended)=&lt;C101901&gt; 
CYP61207 - Record rejected - Person Score has incorrect data format. Care Activity Identifier=&lt;C612904&gt; Care Contact Identifier=&lt;C202903&gt; Service Request Identifier=&lt;C201902&gt; Local Patient Identifier (Extended)=&lt;C101901&gt; 
CYP61211 - Warning - Person Score contains an invalid Person Score. Care Activity Identifier=&lt;C612904&gt; Care Contact Identifier=&lt;C202903&gt; Service Request Identifier=&lt;C201902&gt; Local Patient Identifier (Extended)=&lt;C101901&gt; Person Score = &lt;C612911&gt;</v>
          </cell>
        </row>
        <row r="462">
          <cell r="A462" t="str">
            <v>C612D01</v>
          </cell>
          <cell r="E462" t="str">
            <v>CYP612CodedAssessmentContact</v>
          </cell>
          <cell r="F462" t="str">
            <v>RECORD NUMBER</v>
          </cell>
          <cell r="G462">
            <v>1</v>
          </cell>
          <cell r="H462">
            <v>461</v>
          </cell>
          <cell r="I462" t="str">
            <v>Record number in this extract file.</v>
          </cell>
          <cell r="J462" t="str">
            <v>max n6</v>
          </cell>
        </row>
        <row r="463">
          <cell r="A463" t="str">
            <v>C612D02</v>
          </cell>
          <cell r="E463" t="str">
            <v>CYP612CodedAssessmentContact</v>
          </cell>
          <cell r="F463" t="str">
            <v>CYP612 UNIQUE ID</v>
          </cell>
          <cell r="G463">
            <v>1</v>
          </cell>
          <cell r="H463">
            <v>462</v>
          </cell>
          <cell r="I463" t="str">
            <v>A unique ID per table.  This continues across reporting periods and across providers.  This uniquely identifies a row of data within a table.</v>
          </cell>
          <cell r="J463" t="str">
            <v>min n6 max n20</v>
          </cell>
        </row>
        <row r="464">
          <cell r="A464" t="str">
            <v>C612D03</v>
          </cell>
          <cell r="E464" t="str">
            <v>CYP612CodedAssessmentContact</v>
          </cell>
          <cell r="F464" t="str">
            <v>ORGANISATION CODE (PROVIDER)</v>
          </cell>
          <cell r="G464">
            <v>1</v>
          </cell>
          <cell r="H464">
            <v>463</v>
          </cell>
          <cell r="I464" t="str">
            <v>Organisation code of provider submitting the data.</v>
          </cell>
          <cell r="J464" t="str">
            <v>max an6</v>
          </cell>
        </row>
        <row r="465">
          <cell r="A465" t="str">
            <v>C612D04</v>
          </cell>
          <cell r="E465" t="str">
            <v>CYP612CodedAssessmentContact</v>
          </cell>
          <cell r="F465" t="str">
            <v>UNIQUE CYPHS ID (PATIENT)</v>
          </cell>
          <cell r="G465">
            <v>1</v>
          </cell>
          <cell r="H465">
            <v>464</v>
          </cell>
          <cell r="I465" t="str">
            <v>A nationally unique ID for the patient in the CYPHS Data Set generated from an index held by the BSP.</v>
          </cell>
          <cell r="J465" t="str">
            <v>max n10</v>
          </cell>
        </row>
        <row r="466">
          <cell r="A466" t="str">
            <v>C612D05</v>
          </cell>
          <cell r="E466" t="str">
            <v>CYP612CodedAssessmentContact</v>
          </cell>
          <cell r="F466" t="str">
            <v>BSP UNIQUE ID</v>
          </cell>
          <cell r="G466">
            <v>1</v>
          </cell>
          <cell r="H466">
            <v>465</v>
          </cell>
          <cell r="I466" t="str">
            <v xml:space="preserve">A unique ID applied when original data file was uploaded to the Bureau Service Portal. Where a single upload is used to provide data for different reporting periods, there will be a separate BSPUniqueID assigned to each reporting period.  </v>
          </cell>
          <cell r="J466" t="str">
            <v>max n6</v>
          </cell>
        </row>
        <row r="467">
          <cell r="A467" t="str">
            <v>C612D06</v>
          </cell>
          <cell r="E467" t="str">
            <v>CYP612CodedAssessmentContact</v>
          </cell>
          <cell r="F467" t="str">
            <v>UNIQUE CARE ACTIVITY IDENTIFIER</v>
          </cell>
          <cell r="G467">
            <v>1</v>
          </cell>
          <cell r="H467">
            <v>466</v>
          </cell>
          <cell r="I467" t="str">
            <v>To uniquely identify the activity</v>
          </cell>
          <cell r="J467" t="str">
            <v>max an26</v>
          </cell>
        </row>
        <row r="468">
          <cell r="A468" t="str">
            <v>C612D07</v>
          </cell>
          <cell r="E468" t="str">
            <v>CYP612CodedAssessmentContact</v>
          </cell>
          <cell r="F468" t="str">
            <v>AGE AT  ASSESSMENT TOOL (CONTACT) COMPLETION DATE</v>
          </cell>
          <cell r="G468">
            <v>1</v>
          </cell>
          <cell r="H468">
            <v>467</v>
          </cell>
          <cell r="I468" t="str">
            <v xml:space="preserve">Age of the patient when the Coded Scored Assessment Tool (Contact) was completed. </v>
          </cell>
          <cell r="J468" t="str">
            <v>max n2</v>
          </cell>
        </row>
        <row r="469">
          <cell r="A469" t="str">
            <v>C613912</v>
          </cell>
          <cell r="B469" t="str">
            <v>C613</v>
          </cell>
          <cell r="C469" t="str">
            <v>912</v>
          </cell>
          <cell r="D469" t="str">
            <v>912_4</v>
          </cell>
          <cell r="E469" t="str">
            <v>CYP613AnonSelfAssessment</v>
          </cell>
          <cell r="F469" t="str">
            <v>ORGANISATION CODE (CODE OF COMMISSIONER)</v>
          </cell>
          <cell r="G469">
            <v>0</v>
          </cell>
          <cell r="H469">
            <v>468</v>
          </cell>
          <cell r="I469" t="str">
            <v>This is the ORGANISATION CODE of the ORGANISATION commissioning health care.
This should always be the ORGANISATION CODE of the original commissioner for Commissioning Data Sets to support Payment by Results.
The Department of Health document "Who pays? Establishing the Responsible Commissioner" sets out a framework for establishing responsibility for commissioning an individual's care within the NHS, (i.e. determining who pays for a PATIENT’s care.) 
http://www.dh.gov.uk/en/Publicationsandstatistics/Publications/PublicationsPolicyAndGuidance/DH_078466
Further guidance is available on the NHS Data Dictionary Website:
http://www.datadictionary.nhs.uk/data_dictionary/data_field_notes/o/org/organisation_code_(code_of_commissioner)_de.asp?shownav=1</v>
          </cell>
          <cell r="J469" t="str">
            <v>an3 or an5</v>
          </cell>
          <cell r="K469" t="str">
            <v>Warning</v>
          </cell>
          <cell r="L469" t="str">
            <v>Reject</v>
          </cell>
          <cell r="M469" t="str">
            <v>Warning</v>
          </cell>
          <cell r="N469" t="str">
            <v>If OrgCodeCommissioner is not in national tables, a warning will be output</v>
          </cell>
          <cell r="O469" t="str">
            <v>Used to analyse by commisioner</v>
          </cell>
          <cell r="P469" t="str">
            <v>Required for identifying the Commissioner responsible for payment</v>
          </cell>
          <cell r="Q469" t="str">
            <v>R</v>
          </cell>
          <cell r="R469">
            <v>3</v>
          </cell>
          <cell r="S469" t="str">
            <v xml:space="preserve">CYP61310 - Warning - Organisation Type Code (Code of Commissioner) is blank.
CYP61311 - Record rejected - Organisation Type Code (Code of Commissioner) has incorrect data format. 
CYP61312 - Warning - Organisation Type Code (Code of Commissioner) is not for a current live organisation in national tables.  Organisation Type Code (Code of Commissioner) = &lt;C613912&gt; </v>
          </cell>
        </row>
        <row r="470">
          <cell r="A470" t="str">
            <v>C613909</v>
          </cell>
          <cell r="B470" t="str">
            <v>C613</v>
          </cell>
          <cell r="C470" t="str">
            <v>909</v>
          </cell>
          <cell r="D470" t="str">
            <v>909_3</v>
          </cell>
          <cell r="E470" t="str">
            <v>CYP613AnonSelfAssessment</v>
          </cell>
          <cell r="F470" t="str">
            <v>ACTIVITY LOCATION TYPE CODE</v>
          </cell>
          <cell r="G470">
            <v>0</v>
          </cell>
          <cell r="H470">
            <v>469</v>
          </cell>
          <cell r="I470" t="str">
            <v>The type of physical LOCATION where PATIENTS complete the self assessment.</v>
          </cell>
          <cell r="J470" t="str">
            <v>an3</v>
          </cell>
          <cell r="K470" t="str">
            <v>N/A</v>
          </cell>
          <cell r="L470" t="str">
            <v>Reject</v>
          </cell>
          <cell r="M470" t="str">
            <v>Warning</v>
          </cell>
          <cell r="O470" t="str">
            <v>Used for analysis of data item</v>
          </cell>
          <cell r="P470" t="str">
            <v>To monitor self-assessment outcomes and completion rates depending on location</v>
          </cell>
          <cell r="Q470" t="str">
            <v>R</v>
          </cell>
          <cell r="R470">
            <v>2</v>
          </cell>
          <cell r="S470" t="str">
            <v>CYP61308 - Record rejected - Activity Location Type Code has incorrect data format.
CYP61309 - Warning - Activity Location Type Code contains an invalid Activity Location Type Code Activity Location Type Code = &lt;C613909&gt;</v>
          </cell>
        </row>
        <row r="471">
          <cell r="A471" t="str">
            <v>C613910</v>
          </cell>
          <cell r="B471" t="str">
            <v>C613</v>
          </cell>
          <cell r="C471" t="str">
            <v>910</v>
          </cell>
          <cell r="D471" t="str">
            <v>910_3</v>
          </cell>
          <cell r="E471" t="str">
            <v>CYP613AnonSelfAssessment</v>
          </cell>
          <cell r="F471" t="str">
            <v>CODED ASSESSMENT TOOL TYPE (SNOMED CT)</v>
          </cell>
          <cell r="G471">
            <v>0</v>
          </cell>
          <cell r="H471">
            <v>470</v>
          </cell>
          <cell r="I471" t="str">
            <v>The SNOMED CT concept ID which is used to identify an ASSESSMENT in SNOMED CT.</v>
          </cell>
          <cell r="J471" t="str">
            <v>min an6 max an18</v>
          </cell>
          <cell r="K471" t="str">
            <v>Reject</v>
          </cell>
          <cell r="L471" t="str">
            <v>Reject</v>
          </cell>
          <cell r="M471" t="str">
            <v>N/A</v>
          </cell>
          <cell r="O471" t="str">
            <v>Used for analysis of data item</v>
          </cell>
          <cell r="P471" t="str">
            <v>To monitor outcomes and activites depending on Coded Assessments</v>
          </cell>
          <cell r="Q471" t="str">
            <v>M</v>
          </cell>
          <cell r="R471">
            <v>2</v>
          </cell>
          <cell r="S471" t="str">
            <v>CYP61303 - Record rejected - Coded Assessment Tool Type (SNOMED CT) is blank.
CYP61304 - Record rejected - Coded Assessment Tool Type (SNOMED CT) has incorrect data format.</v>
          </cell>
        </row>
        <row r="472">
          <cell r="A472" t="str">
            <v>C613911</v>
          </cell>
          <cell r="B472" t="str">
            <v>C613</v>
          </cell>
          <cell r="C472" t="str">
            <v>911</v>
          </cell>
          <cell r="D472" t="str">
            <v>911_3</v>
          </cell>
          <cell r="E472" t="str">
            <v>CYP613AnonSelfAssessment</v>
          </cell>
          <cell r="F472" t="str">
            <v>PERSON SCORE</v>
          </cell>
          <cell r="G472">
            <v>0</v>
          </cell>
          <cell r="H472">
            <v>471</v>
          </cell>
          <cell r="I472" t="str">
            <v>The observable value (score) resulting from an ASSESSMENT.</v>
          </cell>
          <cell r="J472" t="str">
            <v>max an5</v>
          </cell>
          <cell r="K472" t="str">
            <v>Reject</v>
          </cell>
          <cell r="L472" t="str">
            <v>Reject</v>
          </cell>
          <cell r="M472" t="str">
            <v>N/A</v>
          </cell>
          <cell r="O472" t="str">
            <v>Used for analysis of data item</v>
          </cell>
          <cell r="P472" t="str">
            <v>To monitor outcomes and activites and quantify</v>
          </cell>
          <cell r="Q472" t="str">
            <v>M</v>
          </cell>
          <cell r="R472">
            <v>2</v>
          </cell>
          <cell r="S472" t="str">
            <v>CYP61305 - Record rejected - Person Score is blank.
CYP61306 - Record rejected - Person Score has incorrect data format.</v>
          </cell>
        </row>
        <row r="473">
          <cell r="A473" t="str">
            <v>C613010</v>
          </cell>
          <cell r="B473" t="str">
            <v>C613</v>
          </cell>
          <cell r="C473" t="str">
            <v>010</v>
          </cell>
          <cell r="D473" t="str">
            <v>C613010_1</v>
          </cell>
          <cell r="E473" t="str">
            <v>CYP613AnonSelfAssessment</v>
          </cell>
          <cell r="F473" t="str">
            <v>ASSESSMENT TOOL COMPLETION DATE</v>
          </cell>
          <cell r="G473">
            <v>0</v>
          </cell>
          <cell r="H473">
            <v>472</v>
          </cell>
          <cell r="I473" t="str">
            <v xml:space="preserve">SELF ASSESSMENT COMPLETION DATE is the DATE the completed ASSESSMENT was received. </v>
          </cell>
          <cell r="J473" t="str">
            <v>an10
CCYY-MM-DD</v>
          </cell>
          <cell r="K473" t="str">
            <v>Reject</v>
          </cell>
          <cell r="L473" t="str">
            <v>Reject</v>
          </cell>
          <cell r="M473" t="str">
            <v>N/A</v>
          </cell>
          <cell r="O473" t="str">
            <v>All to analyse between the data item and other events</v>
          </cell>
          <cell r="P473" t="str">
            <v>Analysis of times differences</v>
          </cell>
          <cell r="Q473" t="str">
            <v>M</v>
          </cell>
          <cell r="R473">
            <v>2</v>
          </cell>
          <cell r="S473" t="str">
            <v>CYP61301 - Record rejected - Assessment Tool Completion Date is blank.
CYP61302 - Record rejected - Assessment Tool Completion Date has incorrect data format.</v>
          </cell>
        </row>
        <row r="474">
          <cell r="A474" t="str">
            <v>C613D01</v>
          </cell>
          <cell r="E474" t="str">
            <v>CYP613AnonSelfAssessment</v>
          </cell>
          <cell r="F474" t="str">
            <v>RECORD NUMBER</v>
          </cell>
          <cell r="G474">
            <v>1</v>
          </cell>
          <cell r="H474">
            <v>473</v>
          </cell>
          <cell r="I474" t="str">
            <v>Record number in this extract file.</v>
          </cell>
          <cell r="J474" t="str">
            <v>max n6</v>
          </cell>
        </row>
        <row r="475">
          <cell r="A475" t="str">
            <v>C613D02</v>
          </cell>
          <cell r="E475" t="str">
            <v>CYP613AnonSelfAssessment</v>
          </cell>
          <cell r="F475" t="str">
            <v>CYP613 UNIQUE ID</v>
          </cell>
          <cell r="G475">
            <v>1</v>
          </cell>
          <cell r="H475">
            <v>474</v>
          </cell>
          <cell r="I475" t="str">
            <v>A unique ID per table.  This continues across reporting periods and across providers.  This uniquely identifies a row of data within a table.</v>
          </cell>
          <cell r="J475" t="str">
            <v>min n6
max n20</v>
          </cell>
        </row>
        <row r="476">
          <cell r="A476" t="str">
            <v>C613D03</v>
          </cell>
          <cell r="E476" t="str">
            <v>CYP613AnonSelfAssessment</v>
          </cell>
          <cell r="F476" t="str">
            <v>ORGANISATION CODE (PROVIDER)</v>
          </cell>
          <cell r="G476">
            <v>1</v>
          </cell>
          <cell r="H476">
            <v>475</v>
          </cell>
          <cell r="I476" t="str">
            <v>Organisation code of provider submitting the data.</v>
          </cell>
          <cell r="J476" t="str">
            <v>max an6</v>
          </cell>
        </row>
        <row r="477">
          <cell r="A477" t="str">
            <v>C613D04</v>
          </cell>
          <cell r="E477" t="str">
            <v>CYP613AnonSelfAssessment</v>
          </cell>
          <cell r="F477" t="str">
            <v>BSP UNIQUE ID</v>
          </cell>
          <cell r="G477">
            <v>1</v>
          </cell>
          <cell r="H477">
            <v>476</v>
          </cell>
          <cell r="I477" t="str">
            <v xml:space="preserve">A unique ID applied when original data file was uploaded to the Bureau Service Portal. Where a single upload is used to provide data for different reporting periods, there will be a separate BSPUniqueID assigned to each reporting period.  </v>
          </cell>
          <cell r="J477" t="str">
            <v>max n6</v>
          </cell>
        </row>
        <row r="478">
          <cell r="A478" t="str">
            <v>C901010</v>
          </cell>
          <cell r="B478" t="str">
            <v>C901</v>
          </cell>
          <cell r="C478" t="str">
            <v>010</v>
          </cell>
          <cell r="D478" t="str">
            <v>C901010_1</v>
          </cell>
          <cell r="E478" t="str">
            <v>CYP901StaffDetails</v>
          </cell>
          <cell r="F478" t="str">
            <v>CARE PROFESSIONAL LOCAL IDENTIFIER</v>
          </cell>
          <cell r="G478">
            <v>0</v>
          </cell>
          <cell r="H478">
            <v>477</v>
          </cell>
          <cell r="I478" t="str">
            <v xml:space="preserve">CARE PROFESSIONAL LOCAL IDENTIFIER is a unique local CARE PROFESSIONAL IDENTIFIER within a Health Care Provider and may be assigned automatically by the computer system.
 </v>
          </cell>
          <cell r="J478" t="str">
            <v>max an20</v>
          </cell>
          <cell r="K478" t="str">
            <v>Reject</v>
          </cell>
          <cell r="L478" t="str">
            <v>Reject</v>
          </cell>
          <cell r="M478" t="str">
            <v>N/A</v>
          </cell>
          <cell r="O478" t="str">
            <v>Uniquely identify a care professional</v>
          </cell>
          <cell r="P478" t="str">
            <v>Required for reporting on Care Professionals</v>
          </cell>
          <cell r="Q478" t="str">
            <v>M</v>
          </cell>
          <cell r="R478">
            <v>2</v>
          </cell>
          <cell r="S478" t="str">
            <v>CYP90101 - Record rejected - Care Professional Local Identifier is blank.
CYP90102 - Record rejected - Care Professional Local Identifier has incorrect data format. Care Professional Local Identifier=&lt;C901010&gt;</v>
          </cell>
        </row>
        <row r="479">
          <cell r="A479" t="str">
            <v>C901020</v>
          </cell>
          <cell r="B479" t="str">
            <v>C901</v>
          </cell>
          <cell r="C479" t="str">
            <v>020</v>
          </cell>
          <cell r="D479" t="str">
            <v>C901020_1</v>
          </cell>
          <cell r="E479" t="str">
            <v>CYP901StaffDetails</v>
          </cell>
          <cell r="F479" t="str">
            <v>PROFESSIONAL REGISTRATION BODY CODE</v>
          </cell>
          <cell r="G479">
            <v>0</v>
          </cell>
          <cell r="H479">
            <v>478</v>
          </cell>
          <cell r="I479" t="str">
            <v>A code which identifies the PROFESSIONAL REGISTRATION BODY or Representative Body.</v>
          </cell>
          <cell r="J479" t="str">
            <v>an2</v>
          </cell>
          <cell r="K479" t="str">
            <v>N/A</v>
          </cell>
          <cell r="L479" t="str">
            <v>Reject</v>
          </cell>
          <cell r="M479" t="str">
            <v>Warning</v>
          </cell>
          <cell r="O479" t="str">
            <v>Used for analysis of data item</v>
          </cell>
          <cell r="P479" t="str">
            <v>To monitor outcomes depending on professional registration</v>
          </cell>
          <cell r="Q479" t="str">
            <v>R</v>
          </cell>
          <cell r="R479">
            <v>2</v>
          </cell>
          <cell r="S479" t="str">
            <v>CYP90104 - Record rejected - Professional Registration Body Code has incorrect data format. Care Professional Local Identifier=&lt;C901010&gt; 
CYP90105 - Warning - Professional Registration Body Code contains an invalid Professional Registration Body Code. Care Professional Local Identifier=&lt;C901010&gt; Professional Registration Body Code=&lt;C901020&gt;</v>
          </cell>
        </row>
        <row r="480">
          <cell r="A480" t="str">
            <v>C901030</v>
          </cell>
          <cell r="B480" t="str">
            <v>C901</v>
          </cell>
          <cell r="C480" t="str">
            <v>030</v>
          </cell>
          <cell r="D480" t="str">
            <v>C901030_1</v>
          </cell>
          <cell r="E480" t="str">
            <v>CYP901StaffDetails</v>
          </cell>
          <cell r="F480" t="str">
            <v>PROFESSIONAL REGISTRATION ENTRY IDENTIFIER</v>
          </cell>
          <cell r="G480">
            <v>0</v>
          </cell>
          <cell r="H480">
            <v>479</v>
          </cell>
          <cell r="I480" t="str">
            <v xml:space="preserve">The registration identifier allocated by an ORGANISATION.
</v>
          </cell>
          <cell r="J480" t="str">
            <v>max an32</v>
          </cell>
          <cell r="K480" t="str">
            <v>N/A</v>
          </cell>
          <cell r="L480" t="str">
            <v>Reject</v>
          </cell>
          <cell r="M480" t="str">
            <v>N/A</v>
          </cell>
          <cell r="O480" t="str">
            <v>All to confirm status of professional registration body code</v>
          </cell>
          <cell r="P480" t="str">
            <v>Used to uniquely identify an professional registration body</v>
          </cell>
          <cell r="Q480" t="str">
            <v>R</v>
          </cell>
          <cell r="R480">
            <v>1</v>
          </cell>
          <cell r="S480" t="str">
            <v xml:space="preserve">CYP90107 - Record rejected - Professional Registration Entry Identifier has incorrect data format. Care Professional Local Identifier=&lt;C901010&gt; </v>
          </cell>
        </row>
        <row r="481">
          <cell r="A481" t="str">
            <v>C901040</v>
          </cell>
          <cell r="B481" t="str">
            <v>C901</v>
          </cell>
          <cell r="C481" t="str">
            <v>040</v>
          </cell>
          <cell r="D481" t="str">
            <v>C901040_1</v>
          </cell>
          <cell r="E481" t="str">
            <v>CYP901StaffDetails</v>
          </cell>
          <cell r="F481" t="str">
            <v>CARE PROFESSIONAL STAFF GROUP (COMMUNITY CARE)</v>
          </cell>
          <cell r="G481">
            <v>0</v>
          </cell>
          <cell r="H481">
            <v>480</v>
          </cell>
          <cell r="I481" t="str">
            <v>The staff group of a CARE PROFESSIONAL working in a Community Health Service.</v>
          </cell>
          <cell r="J481" t="str">
            <v>an3</v>
          </cell>
          <cell r="K481" t="str">
            <v>N/A</v>
          </cell>
          <cell r="L481" t="str">
            <v>Reject</v>
          </cell>
          <cell r="M481" t="str">
            <v>Warning</v>
          </cell>
          <cell r="O481" t="str">
            <v>Used for analysis of data item</v>
          </cell>
          <cell r="P481" t="str">
            <v>Required for reporting on Care Activities, Performance of Care Professionals</v>
          </cell>
          <cell r="Q481" t="str">
            <v>R</v>
          </cell>
          <cell r="R481">
            <v>2</v>
          </cell>
          <cell r="S481" t="str">
            <v>CYP90108 - Record rejected - Care Professional Staff Group (Community Care) has incorrect data format. Care Professional Local Identifier=&lt;C901010&gt;
CYP90109 - Warning - Care Professional Staff Group (Community Care) contains an invalid Care Professional Staff Group (Community Care). Care Professional Local Identifier=&lt;C901010&gt; Care Professional Staff Group (Community Care) = &lt;C901040&gt;</v>
          </cell>
        </row>
        <row r="482">
          <cell r="A482" t="str">
            <v>C901050</v>
          </cell>
          <cell r="B482" t="str">
            <v>C901</v>
          </cell>
          <cell r="C482" t="str">
            <v>050</v>
          </cell>
          <cell r="D482" t="str">
            <v>C901050_1</v>
          </cell>
          <cell r="E482" t="str">
            <v>CYP901StaffDetails</v>
          </cell>
          <cell r="F482" t="str">
            <v>OCCUPATION CODE</v>
          </cell>
          <cell r="G482">
            <v>0</v>
          </cell>
          <cell r="H482">
            <v>481</v>
          </cell>
          <cell r="I482" t="str">
            <v>An NHS OCCUPATION CODE for an EMPLOYEE filling a POSITION.
The NHS OCCUPATION CODES are maintained by the Health and Social Care Information Centre, on behalf of the Department of Health and can be viewed in the NHS Occupation Code Manual.</v>
          </cell>
          <cell r="J482" t="str">
            <v>an3</v>
          </cell>
          <cell r="K482" t="str">
            <v>N/A</v>
          </cell>
          <cell r="L482" t="str">
            <v>Reject</v>
          </cell>
          <cell r="M482" t="str">
            <v>N/A</v>
          </cell>
          <cell r="O482" t="str">
            <v>Used for analysis of data item</v>
          </cell>
          <cell r="P482" t="str">
            <v>To monitor outcomes depending on NHS occupation</v>
          </cell>
          <cell r="Q482" t="str">
            <v>R</v>
          </cell>
          <cell r="R482">
            <v>1</v>
          </cell>
          <cell r="S482" t="str">
            <v>CYP90110 - Record rejected - Occupation Code has incorrect data format. Care Professional Local Identifier=&lt;C901010&gt;</v>
          </cell>
        </row>
        <row r="483">
          <cell r="A483" t="str">
            <v>C901060</v>
          </cell>
          <cell r="B483" t="str">
            <v>C901</v>
          </cell>
          <cell r="C483" t="str">
            <v>060</v>
          </cell>
          <cell r="D483" t="str">
            <v>C901060_1</v>
          </cell>
          <cell r="E483" t="str">
            <v>CYP901StaffDetails</v>
          </cell>
          <cell r="F483" t="str">
            <v>CARE PROFESSIONAL (JOB ROLE CODE)</v>
          </cell>
          <cell r="G483">
            <v>0</v>
          </cell>
          <cell r="H483">
            <v>482</v>
          </cell>
          <cell r="I483" t="str">
            <v>A National Code for a POSITION applicable to an EMPLOYEE.</v>
          </cell>
          <cell r="J483" t="str">
            <v>an5</v>
          </cell>
          <cell r="K483" t="str">
            <v>N/A</v>
          </cell>
          <cell r="L483" t="str">
            <v>Reject</v>
          </cell>
          <cell r="M483" t="str">
            <v>N/A</v>
          </cell>
          <cell r="O483" t="str">
            <v>Used for analysis of data item</v>
          </cell>
          <cell r="P483" t="str">
            <v>To monitor outcomes depending on care professional job role</v>
          </cell>
          <cell r="Q483" t="str">
            <v>R</v>
          </cell>
          <cell r="R483">
            <v>1</v>
          </cell>
          <cell r="S483" t="str">
            <v>CYP90111 - Record rejected - Care Professional (Job Role Code) has incorrect data format. Care Professional Local Identifier=&lt;C901010&gt;</v>
          </cell>
        </row>
        <row r="484">
          <cell r="A484" t="str">
            <v>C901D01</v>
          </cell>
          <cell r="E484" t="str">
            <v>CYP901StaffDetails</v>
          </cell>
          <cell r="F484" t="str">
            <v>RECORD NUMBER</v>
          </cell>
          <cell r="G484">
            <v>1</v>
          </cell>
          <cell r="H484">
            <v>483</v>
          </cell>
          <cell r="I484" t="str">
            <v>Record number in this extract file.</v>
          </cell>
          <cell r="J484" t="str">
            <v>max n6</v>
          </cell>
        </row>
        <row r="485">
          <cell r="A485" t="str">
            <v>C901D02</v>
          </cell>
          <cell r="E485" t="str">
            <v>CYP901StaffDetails</v>
          </cell>
          <cell r="F485" t="str">
            <v>CYP901 UNIQUE ID</v>
          </cell>
          <cell r="G485">
            <v>1</v>
          </cell>
          <cell r="H485">
            <v>484</v>
          </cell>
          <cell r="I485" t="str">
            <v>A unique ID per table.  This continues across reporting periods and across providers.  This uniquely identifies a row of data within a table.</v>
          </cell>
          <cell r="J485" t="str">
            <v>min n6 max n20</v>
          </cell>
        </row>
        <row r="486">
          <cell r="A486" t="str">
            <v>C901D03</v>
          </cell>
          <cell r="E486" t="str">
            <v>CYP901StaffDetails</v>
          </cell>
          <cell r="F486" t="str">
            <v>ORGANISATION CODE (PROVIDER)</v>
          </cell>
          <cell r="G486">
            <v>1</v>
          </cell>
          <cell r="H486">
            <v>485</v>
          </cell>
          <cell r="I486" t="str">
            <v>Organisation code of provider submitting the data.</v>
          </cell>
          <cell r="J486" t="str">
            <v>max an6</v>
          </cell>
        </row>
        <row r="487">
          <cell r="A487" t="str">
            <v>C901D04</v>
          </cell>
          <cell r="E487" t="str">
            <v>CYP901StaffDetails</v>
          </cell>
          <cell r="F487" t="str">
            <v>BSP UNIQUE ID</v>
          </cell>
          <cell r="G487">
            <v>1</v>
          </cell>
          <cell r="H487">
            <v>486</v>
          </cell>
          <cell r="I487" t="str">
            <v xml:space="preserve">A unique ID applied when original data file was uploaded to the Bureau Service Portal. Where a single upload is used to provide data for different reporting periods, there will be a separate BSPUniqueID assigned to each reporting period.  </v>
          </cell>
          <cell r="J487" t="str">
            <v>max n6</v>
          </cell>
        </row>
      </sheetData>
      <sheetData sheetId="43"/>
      <sheetData sheetId="44"/>
      <sheetData sheetId="45"/>
      <sheetData sheetId="4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datadictionary.nhs.uk/data_sets/clinical_data_sets/community_services_data_set.html?hl=community" TargetMode="External"/><Relationship Id="rId3" Type="http://schemas.openxmlformats.org/officeDocument/2006/relationships/hyperlink" Target="https://digital.nhs.uk/data-and-information/data-collections-and-data-sets/data-sets/community-services-data-set" TargetMode="External"/><Relationship Id="rId7" Type="http://schemas.openxmlformats.org/officeDocument/2006/relationships/hyperlink" Target="http://www.nationalarchives.gov.uk/doc/open-government-licence" TargetMode="External"/><Relationship Id="rId2" Type="http://schemas.openxmlformats.org/officeDocument/2006/relationships/hyperlink" Target="https://www.datadictionary.nhs.uk/data_sets/clinical_data_sets/community_services_data_set.html?hl=community" TargetMode="External"/><Relationship Id="rId1" Type="http://schemas.openxmlformats.org/officeDocument/2006/relationships/hyperlink" Target="mailto:enquiries@nhsdigital.nhs.uk" TargetMode="External"/><Relationship Id="rId6" Type="http://schemas.openxmlformats.org/officeDocument/2006/relationships/hyperlink" Target="https://digital.nhs.uk/services/organisation-data-service" TargetMode="External"/><Relationship Id="rId5" Type="http://schemas.openxmlformats.org/officeDocument/2006/relationships/hyperlink" Target="https://digital.nhs.uk/Community-Services-Data-Set/Reports" TargetMode="External"/><Relationship Id="rId10" Type="http://schemas.openxmlformats.org/officeDocument/2006/relationships/drawing" Target="../drawings/drawing1.xml"/><Relationship Id="rId4" Type="http://schemas.openxmlformats.org/officeDocument/2006/relationships/hyperlink" Target="http://systems.digital.nhs.uk/data/ods/datadownloads"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digital.nhs.uk/data-and-information/data-collections-and-data-sets/data-sets/community-services-data-set"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7:P56"/>
  <sheetViews>
    <sheetView showGridLines="0" tabSelected="1" zoomScaleNormal="100" workbookViewId="0">
      <pane ySplit="8" topLeftCell="A9" activePane="bottomLeft" state="frozen"/>
      <selection pane="bottomLeft"/>
    </sheetView>
  </sheetViews>
  <sheetFormatPr defaultColWidth="9.08984375" defaultRowHeight="14.5" x14ac:dyDescent="0.35"/>
  <cols>
    <col min="1" max="1" width="2.54296875" style="17" customWidth="1"/>
    <col min="2" max="3" width="10.54296875" style="17" customWidth="1"/>
    <col min="4" max="4" width="17.54296875" style="17" customWidth="1"/>
    <col min="5" max="18" width="10.54296875" style="17" customWidth="1"/>
    <col min="19" max="23" width="9.08984375" style="17" customWidth="1"/>
    <col min="24" max="257" width="9.08984375" style="17"/>
    <col min="258" max="262" width="9.08984375" style="17" customWidth="1"/>
    <col min="263" max="16384" width="9.08984375" style="17"/>
  </cols>
  <sheetData>
    <row r="7" spans="2:16" ht="34" x14ac:dyDescent="0.35">
      <c r="B7" s="252" t="s">
        <v>0</v>
      </c>
      <c r="C7" s="252"/>
      <c r="D7" s="252"/>
      <c r="E7" s="252"/>
      <c r="F7" s="252"/>
      <c r="G7" s="252"/>
      <c r="H7" s="252"/>
      <c r="I7" s="252"/>
      <c r="J7" s="252"/>
      <c r="K7" s="252"/>
      <c r="L7" s="252"/>
      <c r="M7" s="252"/>
      <c r="N7" s="252"/>
      <c r="O7" s="252"/>
      <c r="P7" s="252"/>
    </row>
    <row r="8" spans="2:16" ht="25" x14ac:dyDescent="0.35">
      <c r="B8" s="253" t="s">
        <v>1</v>
      </c>
      <c r="C8" s="253"/>
      <c r="D8" s="253"/>
      <c r="E8" s="253"/>
      <c r="F8" s="253"/>
      <c r="G8" s="253"/>
      <c r="H8" s="253"/>
      <c r="I8" s="253"/>
      <c r="J8" s="253"/>
      <c r="K8" s="253"/>
      <c r="L8" s="253"/>
      <c r="M8" s="253"/>
      <c r="N8" s="253"/>
      <c r="O8" s="253"/>
      <c r="P8" s="253"/>
    </row>
    <row r="9" spans="2:16" x14ac:dyDescent="0.35">
      <c r="B9" s="254"/>
      <c r="C9" s="254"/>
      <c r="D9" s="254"/>
      <c r="E9" s="254"/>
      <c r="F9" s="254"/>
      <c r="G9" s="254"/>
      <c r="H9" s="254"/>
      <c r="I9" s="254"/>
      <c r="J9" s="254"/>
      <c r="K9" s="254"/>
      <c r="L9" s="254"/>
      <c r="M9" s="254"/>
      <c r="N9" s="254"/>
      <c r="O9" s="254"/>
      <c r="P9" s="254"/>
    </row>
    <row r="10" spans="2:16" s="13" customFormat="1" ht="30" customHeight="1" x14ac:dyDescent="0.35">
      <c r="B10" s="250" t="s">
        <v>2</v>
      </c>
      <c r="C10" s="250"/>
      <c r="D10" s="250"/>
      <c r="E10" s="250"/>
      <c r="F10" s="250"/>
      <c r="G10" s="250"/>
      <c r="H10" s="250"/>
      <c r="I10" s="250"/>
      <c r="J10" s="250"/>
      <c r="K10" s="250"/>
      <c r="L10" s="250"/>
      <c r="M10" s="250"/>
      <c r="N10" s="250"/>
      <c r="O10" s="250"/>
      <c r="P10" s="250"/>
    </row>
    <row r="11" spans="2:16" s="13" customFormat="1" ht="21" customHeight="1" x14ac:dyDescent="0.35">
      <c r="B11" s="16" t="s">
        <v>932</v>
      </c>
      <c r="C11" s="16"/>
      <c r="D11" s="16"/>
      <c r="E11" s="16"/>
      <c r="F11" s="16"/>
      <c r="G11" s="16"/>
      <c r="H11" s="16"/>
      <c r="I11" s="16"/>
      <c r="J11" s="16"/>
      <c r="K11" s="16"/>
      <c r="L11" s="16"/>
      <c r="M11" s="16"/>
      <c r="N11" s="16"/>
      <c r="O11" s="16"/>
      <c r="P11" s="16"/>
    </row>
    <row r="12" spans="2:16" s="13" customFormat="1" ht="18.899999999999999" customHeight="1" x14ac:dyDescent="0.35">
      <c r="B12" s="247" t="s">
        <v>373</v>
      </c>
      <c r="C12" s="247"/>
      <c r="D12" s="247"/>
      <c r="E12" s="248" t="s">
        <v>933</v>
      </c>
      <c r="F12" s="248"/>
      <c r="G12" s="248"/>
      <c r="H12" s="248"/>
      <c r="I12" s="248"/>
      <c r="J12" s="248"/>
      <c r="K12" s="248"/>
      <c r="L12" s="248"/>
      <c r="M12" s="248"/>
      <c r="N12" s="248"/>
      <c r="O12" s="248"/>
      <c r="P12" s="248"/>
    </row>
    <row r="13" spans="2:16" s="13" customFormat="1" ht="18.899999999999999" customHeight="1" x14ac:dyDescent="0.35">
      <c r="B13" s="247" t="s">
        <v>3</v>
      </c>
      <c r="C13" s="247"/>
      <c r="D13" s="247"/>
      <c r="E13" s="248" t="s">
        <v>4</v>
      </c>
      <c r="F13" s="248"/>
      <c r="G13" s="248"/>
      <c r="H13" s="248"/>
      <c r="I13" s="248"/>
      <c r="J13" s="248"/>
      <c r="K13" s="248"/>
      <c r="L13" s="248"/>
      <c r="M13" s="248"/>
      <c r="N13" s="248"/>
      <c r="O13" s="248"/>
      <c r="P13" s="248"/>
    </row>
    <row r="14" spans="2:16" s="13" customFormat="1" ht="18.899999999999999" customHeight="1" x14ac:dyDescent="0.35">
      <c r="B14" s="247" t="s">
        <v>1157</v>
      </c>
      <c r="C14" s="247"/>
      <c r="D14" s="247"/>
      <c r="E14" s="249" t="s">
        <v>1093</v>
      </c>
      <c r="F14" s="249"/>
      <c r="G14" s="249"/>
      <c r="H14" s="249"/>
      <c r="I14" s="249"/>
      <c r="J14" s="249"/>
      <c r="K14" s="249"/>
      <c r="L14" s="249"/>
      <c r="M14" s="249"/>
      <c r="N14" s="249"/>
      <c r="O14" s="249"/>
      <c r="P14" s="249"/>
    </row>
    <row r="15" spans="2:16" s="13" customFormat="1" ht="18.899999999999999" customHeight="1" x14ac:dyDescent="0.35">
      <c r="B15" s="247" t="s">
        <v>924</v>
      </c>
      <c r="C15" s="247"/>
      <c r="D15" s="247"/>
      <c r="E15" s="248" t="s">
        <v>930</v>
      </c>
      <c r="F15" s="248"/>
      <c r="G15" s="248"/>
      <c r="H15" s="248"/>
      <c r="I15" s="248"/>
      <c r="J15" s="248"/>
      <c r="K15" s="248"/>
      <c r="L15" s="248"/>
      <c r="M15" s="248"/>
      <c r="N15" s="248"/>
      <c r="O15" s="248"/>
      <c r="P15" s="248"/>
    </row>
    <row r="16" spans="2:16" s="13" customFormat="1" ht="18.899999999999999" customHeight="1" x14ac:dyDescent="0.35">
      <c r="B16" s="247" t="s">
        <v>929</v>
      </c>
      <c r="C16" s="247"/>
      <c r="D16" s="247"/>
      <c r="E16" s="248" t="s">
        <v>1155</v>
      </c>
      <c r="F16" s="248"/>
      <c r="G16" s="248"/>
      <c r="H16" s="248"/>
      <c r="I16" s="248"/>
      <c r="J16" s="248"/>
      <c r="K16" s="248"/>
      <c r="L16" s="248"/>
      <c r="M16" s="248"/>
      <c r="N16" s="248"/>
      <c r="O16" s="248"/>
      <c r="P16" s="248"/>
    </row>
    <row r="17" spans="2:16" s="13" customFormat="1" ht="18.899999999999999" customHeight="1" x14ac:dyDescent="0.35">
      <c r="B17" s="247" t="s">
        <v>925</v>
      </c>
      <c r="C17" s="247"/>
      <c r="D17" s="247"/>
      <c r="E17" s="248" t="s">
        <v>1156</v>
      </c>
      <c r="F17" s="248"/>
      <c r="G17" s="248"/>
      <c r="H17" s="248"/>
      <c r="I17" s="248"/>
      <c r="J17" s="248"/>
      <c r="K17" s="248"/>
      <c r="L17" s="248"/>
      <c r="M17" s="248"/>
      <c r="N17" s="248"/>
      <c r="O17" s="248"/>
      <c r="P17" s="248"/>
    </row>
    <row r="18" spans="2:16" s="13" customFormat="1" ht="18.899999999999999" customHeight="1" x14ac:dyDescent="0.35">
      <c r="B18" s="247" t="s">
        <v>5</v>
      </c>
      <c r="C18" s="247"/>
      <c r="D18" s="247"/>
      <c r="E18" s="248" t="s">
        <v>937</v>
      </c>
      <c r="F18" s="248"/>
      <c r="G18" s="248"/>
      <c r="H18" s="248"/>
      <c r="I18" s="248"/>
      <c r="J18" s="248"/>
      <c r="K18" s="248"/>
      <c r="L18" s="248"/>
      <c r="M18" s="248"/>
      <c r="N18" s="248"/>
      <c r="O18" s="248"/>
      <c r="P18" s="248"/>
    </row>
    <row r="19" spans="2:16" s="13" customFormat="1" ht="18.899999999999999" customHeight="1" x14ac:dyDescent="0.35">
      <c r="B19" s="247" t="s">
        <v>6</v>
      </c>
      <c r="C19" s="247"/>
      <c r="D19" s="247"/>
      <c r="E19" s="248" t="s">
        <v>931</v>
      </c>
      <c r="F19" s="248"/>
      <c r="G19" s="248"/>
      <c r="H19" s="248"/>
      <c r="I19" s="248"/>
      <c r="J19" s="248"/>
      <c r="K19" s="248"/>
      <c r="L19" s="248"/>
      <c r="M19" s="248"/>
      <c r="N19" s="248"/>
      <c r="O19" s="248"/>
      <c r="P19" s="248"/>
    </row>
    <row r="20" spans="2:16" s="13" customFormat="1" ht="18.899999999999999" customHeight="1" x14ac:dyDescent="0.35">
      <c r="B20" s="247" t="s">
        <v>7</v>
      </c>
      <c r="C20" s="247"/>
      <c r="D20" s="247"/>
      <c r="E20" s="248" t="s">
        <v>8</v>
      </c>
      <c r="F20" s="248"/>
      <c r="G20" s="248"/>
      <c r="H20" s="248"/>
      <c r="I20" s="248"/>
      <c r="J20" s="248"/>
      <c r="K20" s="248"/>
      <c r="L20" s="248"/>
      <c r="M20" s="248"/>
      <c r="N20" s="248"/>
      <c r="O20" s="248"/>
      <c r="P20" s="248"/>
    </row>
    <row r="21" spans="2:16" s="13" customFormat="1" ht="14" x14ac:dyDescent="0.35">
      <c r="B21" s="16"/>
      <c r="C21" s="16"/>
      <c r="D21" s="16"/>
      <c r="E21" s="16"/>
      <c r="F21" s="16"/>
      <c r="G21" s="16"/>
      <c r="H21" s="16"/>
      <c r="I21" s="16"/>
      <c r="J21" s="16"/>
      <c r="K21" s="16"/>
      <c r="L21" s="16"/>
      <c r="M21" s="16"/>
      <c r="N21" s="16"/>
      <c r="O21" s="16"/>
      <c r="P21" s="16"/>
    </row>
    <row r="22" spans="2:16" s="13" customFormat="1" ht="53.4" customHeight="1" x14ac:dyDescent="0.35">
      <c r="B22" s="250" t="s">
        <v>9</v>
      </c>
      <c r="C22" s="250"/>
      <c r="D22" s="250"/>
      <c r="E22" s="250"/>
      <c r="F22" s="250"/>
      <c r="G22" s="250"/>
      <c r="H22" s="250"/>
      <c r="I22" s="250"/>
      <c r="J22" s="250"/>
      <c r="K22" s="250"/>
      <c r="L22" s="250"/>
      <c r="M22" s="250"/>
      <c r="N22" s="250"/>
      <c r="O22" s="250"/>
      <c r="P22" s="250"/>
    </row>
    <row r="23" spans="2:16" s="13" customFormat="1" ht="15" customHeight="1" x14ac:dyDescent="0.35">
      <c r="B23" s="250" t="s">
        <v>10</v>
      </c>
      <c r="C23" s="250"/>
      <c r="D23" s="250"/>
      <c r="E23" s="250"/>
      <c r="F23" s="250"/>
      <c r="G23" s="250"/>
      <c r="H23" s="250"/>
      <c r="I23" s="250"/>
      <c r="J23" s="250"/>
      <c r="K23" s="250"/>
      <c r="L23" s="250"/>
      <c r="M23" s="250"/>
      <c r="N23" s="250"/>
      <c r="O23" s="250"/>
      <c r="P23" s="250"/>
    </row>
    <row r="24" spans="2:16" s="13" customFormat="1" ht="15" customHeight="1" x14ac:dyDescent="0.35">
      <c r="B24" s="251" t="s">
        <v>11</v>
      </c>
      <c r="C24" s="251"/>
      <c r="D24" s="251"/>
      <c r="E24" s="251"/>
      <c r="F24" s="251"/>
      <c r="G24" s="251"/>
      <c r="H24" s="251"/>
      <c r="I24" s="251"/>
      <c r="J24" s="251"/>
      <c r="K24" s="251"/>
      <c r="L24" s="251"/>
      <c r="M24" s="251"/>
      <c r="N24" s="251"/>
      <c r="O24" s="251"/>
      <c r="P24" s="251"/>
    </row>
    <row r="25" spans="2:16" s="13" customFormat="1" ht="45.75" customHeight="1" x14ac:dyDescent="0.35">
      <c r="B25" s="250" t="s">
        <v>12</v>
      </c>
      <c r="C25" s="250"/>
      <c r="D25" s="250"/>
      <c r="E25" s="250"/>
      <c r="F25" s="250"/>
      <c r="G25" s="250"/>
      <c r="H25" s="250"/>
      <c r="I25" s="250"/>
      <c r="J25" s="250"/>
      <c r="K25" s="250"/>
      <c r="L25" s="250"/>
      <c r="M25" s="250"/>
      <c r="N25" s="250"/>
      <c r="O25" s="250"/>
      <c r="P25" s="250"/>
    </row>
    <row r="26" spans="2:16" s="13" customFormat="1" ht="15" customHeight="1" x14ac:dyDescent="0.35">
      <c r="B26" s="251" t="s">
        <v>13</v>
      </c>
      <c r="C26" s="251"/>
      <c r="D26" s="251"/>
      <c r="E26" s="251"/>
      <c r="F26" s="251"/>
      <c r="G26" s="251"/>
      <c r="H26" s="251"/>
      <c r="I26" s="251"/>
      <c r="J26" s="251"/>
      <c r="K26" s="251"/>
      <c r="L26" s="251"/>
      <c r="M26" s="251"/>
      <c r="N26" s="251"/>
      <c r="O26" s="251"/>
      <c r="P26" s="251"/>
    </row>
    <row r="27" spans="2:16" s="13" customFormat="1" ht="15" customHeight="1" x14ac:dyDescent="0.35">
      <c r="B27" s="250" t="s">
        <v>14</v>
      </c>
      <c r="C27" s="250"/>
      <c r="D27" s="250"/>
      <c r="E27" s="250"/>
      <c r="F27" s="250"/>
      <c r="G27" s="250"/>
      <c r="H27" s="250"/>
      <c r="I27" s="250"/>
      <c r="J27" s="250"/>
      <c r="K27" s="250"/>
      <c r="L27" s="250"/>
      <c r="M27" s="250"/>
      <c r="N27" s="250"/>
      <c r="O27" s="250"/>
      <c r="P27" s="250"/>
    </row>
    <row r="28" spans="2:16" s="13" customFormat="1" ht="15" customHeight="1" x14ac:dyDescent="0.35">
      <c r="B28" s="251" t="s">
        <v>15</v>
      </c>
      <c r="C28" s="251"/>
      <c r="D28" s="251"/>
      <c r="E28" s="251"/>
      <c r="F28" s="251"/>
      <c r="G28" s="251"/>
      <c r="H28" s="251"/>
      <c r="I28" s="251"/>
      <c r="J28" s="251"/>
      <c r="K28" s="251"/>
      <c r="L28" s="251"/>
      <c r="M28" s="251"/>
      <c r="N28" s="251"/>
      <c r="O28" s="251"/>
      <c r="P28" s="251"/>
    </row>
    <row r="29" spans="2:16" s="13" customFormat="1" ht="15" customHeight="1" x14ac:dyDescent="0.35">
      <c r="B29" s="14"/>
      <c r="C29" s="14"/>
      <c r="D29" s="14"/>
      <c r="E29" s="14"/>
      <c r="F29" s="14"/>
      <c r="G29" s="14"/>
      <c r="H29" s="14"/>
      <c r="I29" s="14"/>
      <c r="J29" s="14"/>
      <c r="K29" s="14"/>
      <c r="L29" s="14"/>
      <c r="M29" s="14"/>
      <c r="N29" s="14"/>
      <c r="O29" s="14"/>
      <c r="P29" s="14"/>
    </row>
    <row r="30" spans="2:16" s="13" customFormat="1" ht="15" customHeight="1" x14ac:dyDescent="0.35">
      <c r="B30" s="246" t="s">
        <v>1151</v>
      </c>
      <c r="C30" s="246"/>
      <c r="D30" s="246"/>
      <c r="E30" s="246"/>
      <c r="F30" s="246"/>
      <c r="G30" s="246"/>
      <c r="H30" s="246"/>
      <c r="I30" s="246"/>
      <c r="J30" s="246"/>
      <c r="K30" s="246"/>
      <c r="L30" s="246"/>
      <c r="M30" s="246"/>
      <c r="N30" s="246"/>
      <c r="O30" s="246"/>
      <c r="P30" s="246"/>
    </row>
    <row r="31" spans="2:16" s="13" customFormat="1" ht="15" customHeight="1" x14ac:dyDescent="0.35">
      <c r="B31" s="246" t="s">
        <v>1152</v>
      </c>
      <c r="C31" s="246"/>
      <c r="D31" s="246"/>
      <c r="E31" s="246"/>
      <c r="F31" s="246"/>
      <c r="G31" s="246"/>
      <c r="H31" s="246"/>
      <c r="I31" s="246"/>
      <c r="J31" s="246"/>
      <c r="K31" s="246"/>
      <c r="L31" s="246"/>
      <c r="M31" s="246"/>
      <c r="N31" s="246"/>
      <c r="O31" s="246"/>
      <c r="P31" s="246"/>
    </row>
    <row r="32" spans="2:16" s="13" customFormat="1" ht="15" customHeight="1" x14ac:dyDescent="0.35">
      <c r="B32" s="168"/>
      <c r="C32" s="168"/>
      <c r="D32" s="168"/>
      <c r="E32" s="168"/>
      <c r="F32" s="168"/>
      <c r="G32" s="168"/>
      <c r="H32" s="168"/>
      <c r="I32" s="168"/>
      <c r="J32" s="168"/>
      <c r="K32" s="168"/>
      <c r="L32" s="168"/>
      <c r="M32" s="168"/>
      <c r="N32" s="168"/>
      <c r="O32" s="168"/>
      <c r="P32" s="168"/>
    </row>
    <row r="33" spans="2:16" s="13" customFormat="1" ht="15" customHeight="1" x14ac:dyDescent="0.35">
      <c r="B33" s="246" t="s">
        <v>16</v>
      </c>
      <c r="C33" s="246"/>
      <c r="D33" s="246"/>
      <c r="E33" s="246"/>
      <c r="F33" s="246"/>
      <c r="G33" s="246"/>
      <c r="H33" s="246"/>
      <c r="I33" s="246"/>
      <c r="J33" s="246"/>
      <c r="K33" s="246"/>
      <c r="L33" s="246"/>
      <c r="M33" s="246"/>
      <c r="N33" s="246"/>
      <c r="O33" s="246"/>
      <c r="P33" s="246"/>
    </row>
    <row r="34" spans="2:16" s="13" customFormat="1" ht="15" customHeight="1" x14ac:dyDescent="0.35">
      <c r="B34" s="256" t="s">
        <v>1153</v>
      </c>
      <c r="C34" s="256"/>
      <c r="D34" s="256"/>
      <c r="E34" s="256"/>
      <c r="F34" s="256"/>
      <c r="G34" s="256"/>
      <c r="H34" s="256"/>
      <c r="I34" s="256"/>
      <c r="J34" s="256"/>
      <c r="K34" s="256"/>
      <c r="L34" s="256"/>
      <c r="M34" s="256"/>
      <c r="N34" s="256"/>
      <c r="O34" s="256"/>
      <c r="P34" s="256"/>
    </row>
    <row r="35" spans="2:16" s="13" customFormat="1" ht="15" customHeight="1" x14ac:dyDescent="0.35">
      <c r="B35" s="246" t="s">
        <v>17</v>
      </c>
      <c r="C35" s="246"/>
      <c r="D35" s="246"/>
      <c r="E35" s="246"/>
      <c r="F35" s="246"/>
      <c r="G35" s="246"/>
      <c r="H35" s="246"/>
      <c r="I35" s="246"/>
      <c r="J35" s="246"/>
      <c r="K35" s="246"/>
      <c r="L35" s="246"/>
      <c r="M35" s="246"/>
      <c r="N35" s="246"/>
      <c r="O35" s="246"/>
      <c r="P35" s="246"/>
    </row>
    <row r="36" spans="2:16" s="13" customFormat="1" ht="15" customHeight="1" x14ac:dyDescent="0.35">
      <c r="B36" s="6"/>
      <c r="C36" s="6"/>
      <c r="D36" s="6"/>
      <c r="E36" s="6"/>
      <c r="F36" s="6"/>
      <c r="G36" s="6"/>
      <c r="H36" s="6"/>
      <c r="I36" s="6"/>
      <c r="J36" s="6"/>
      <c r="K36" s="6"/>
      <c r="L36" s="6"/>
      <c r="M36" s="6"/>
      <c r="N36" s="6"/>
      <c r="O36" s="6"/>
      <c r="P36" s="6"/>
    </row>
    <row r="37" spans="2:16" s="13" customFormat="1" ht="15" customHeight="1" x14ac:dyDescent="0.35">
      <c r="B37" s="246" t="s">
        <v>1154</v>
      </c>
      <c r="C37" s="246"/>
      <c r="D37" s="246"/>
      <c r="E37" s="246"/>
      <c r="F37" s="246"/>
      <c r="G37" s="246"/>
      <c r="H37" s="246"/>
      <c r="I37" s="246"/>
      <c r="J37" s="246"/>
      <c r="K37" s="246"/>
      <c r="L37" s="246"/>
      <c r="M37" s="246"/>
      <c r="N37" s="246"/>
      <c r="O37" s="246"/>
      <c r="P37" s="246"/>
    </row>
    <row r="38" spans="2:16" s="13" customFormat="1" ht="15" customHeight="1" x14ac:dyDescent="0.35">
      <c r="B38" s="246" t="s">
        <v>923</v>
      </c>
      <c r="C38" s="246"/>
      <c r="D38" s="246"/>
      <c r="E38" s="238"/>
      <c r="F38" s="238"/>
      <c r="G38" s="238"/>
      <c r="H38" s="238"/>
      <c r="I38" s="238"/>
      <c r="J38" s="238"/>
      <c r="K38" s="238"/>
      <c r="L38" s="238"/>
      <c r="M38" s="238"/>
      <c r="N38" s="238"/>
      <c r="O38" s="238"/>
      <c r="P38" s="238"/>
    </row>
    <row r="39" spans="2:16" s="13" customFormat="1" ht="15" customHeight="1" x14ac:dyDescent="0.35">
      <c r="B39" s="246"/>
      <c r="C39" s="246"/>
      <c r="D39" s="246"/>
      <c r="E39" s="246"/>
      <c r="F39" s="246"/>
      <c r="G39" s="246"/>
      <c r="H39" s="246"/>
      <c r="I39" s="246"/>
      <c r="J39" s="246"/>
      <c r="K39" s="246"/>
      <c r="L39" s="246"/>
      <c r="M39" s="246"/>
      <c r="N39" s="246"/>
      <c r="O39" s="246"/>
      <c r="P39" s="246"/>
    </row>
    <row r="40" spans="2:16" s="13" customFormat="1" ht="40.5" customHeight="1" x14ac:dyDescent="0.35">
      <c r="B40" s="6"/>
      <c r="C40" s="6"/>
      <c r="D40" s="6"/>
      <c r="E40" s="6"/>
      <c r="F40" s="6"/>
      <c r="G40" s="6"/>
      <c r="H40" s="6"/>
      <c r="I40" s="6"/>
      <c r="J40" s="6"/>
      <c r="K40" s="6"/>
      <c r="L40" s="6"/>
      <c r="M40" s="6"/>
      <c r="N40" s="6"/>
      <c r="O40" s="6"/>
      <c r="P40" s="6"/>
    </row>
    <row r="41" spans="2:16" s="13" customFormat="1" ht="15" customHeight="1" x14ac:dyDescent="0.35">
      <c r="B41" s="246" t="s">
        <v>18</v>
      </c>
      <c r="C41" s="246"/>
      <c r="D41" s="246"/>
      <c r="E41" s="246"/>
      <c r="F41" s="246"/>
      <c r="G41" s="246"/>
      <c r="H41" s="246"/>
      <c r="I41" s="246"/>
      <c r="J41" s="246"/>
      <c r="K41" s="246"/>
      <c r="L41" s="246"/>
      <c r="M41" s="246"/>
      <c r="N41" s="246"/>
      <c r="O41" s="246"/>
      <c r="P41" s="246"/>
    </row>
    <row r="42" spans="2:16" s="13" customFormat="1" ht="15" customHeight="1" x14ac:dyDescent="0.35">
      <c r="B42" s="246" t="s">
        <v>19</v>
      </c>
      <c r="C42" s="246"/>
      <c r="D42" s="246"/>
      <c r="E42" s="246"/>
      <c r="F42" s="246"/>
      <c r="G42" s="246"/>
      <c r="H42" s="246"/>
      <c r="I42" s="246"/>
      <c r="J42" s="246"/>
      <c r="K42" s="246"/>
      <c r="L42" s="246"/>
      <c r="M42" s="246"/>
      <c r="N42" s="246"/>
      <c r="O42" s="246"/>
      <c r="P42" s="246"/>
    </row>
    <row r="43" spans="2:16" s="13" customFormat="1" ht="15" customHeight="1" x14ac:dyDescent="0.35">
      <c r="B43" s="251" t="s">
        <v>20</v>
      </c>
      <c r="C43" s="251"/>
      <c r="D43" s="251"/>
      <c r="E43" s="251"/>
      <c r="F43" s="251"/>
      <c r="G43" s="251"/>
      <c r="H43" s="251"/>
      <c r="I43" s="251"/>
      <c r="J43" s="251"/>
      <c r="K43" s="251"/>
      <c r="L43" s="251"/>
      <c r="M43" s="251"/>
      <c r="N43" s="251"/>
      <c r="O43" s="251"/>
      <c r="P43" s="251"/>
    </row>
    <row r="44" spans="2:16" s="13" customFormat="1" ht="15" customHeight="1" x14ac:dyDescent="0.35">
      <c r="B44" s="246" t="s">
        <v>21</v>
      </c>
      <c r="C44" s="246"/>
      <c r="D44" s="246"/>
      <c r="E44" s="246"/>
      <c r="F44" s="246"/>
      <c r="G44" s="246"/>
      <c r="H44" s="246"/>
      <c r="I44" s="246"/>
      <c r="J44" s="246"/>
      <c r="K44" s="246"/>
      <c r="L44" s="246"/>
      <c r="M44" s="246"/>
      <c r="N44" s="246"/>
      <c r="O44" s="246"/>
      <c r="P44" s="246"/>
    </row>
    <row r="45" spans="2:16" s="13" customFormat="1" ht="15" customHeight="1" x14ac:dyDescent="0.35">
      <c r="B45" s="246" t="s">
        <v>22</v>
      </c>
      <c r="C45" s="246"/>
      <c r="D45" s="246"/>
      <c r="E45" s="246"/>
      <c r="F45" s="246"/>
      <c r="G45" s="246"/>
      <c r="H45" s="246"/>
      <c r="I45" s="246"/>
      <c r="J45" s="246"/>
      <c r="K45" s="246"/>
      <c r="L45" s="246"/>
      <c r="M45" s="246"/>
      <c r="N45" s="246"/>
      <c r="O45" s="246"/>
      <c r="P45" s="246"/>
    </row>
    <row r="46" spans="2:16" s="13" customFormat="1" ht="15" customHeight="1" x14ac:dyDescent="0.35">
      <c r="B46" s="246" t="s">
        <v>23</v>
      </c>
      <c r="C46" s="246"/>
      <c r="D46" s="246"/>
      <c r="E46" s="246"/>
      <c r="F46" s="246"/>
      <c r="G46" s="246"/>
      <c r="H46" s="246"/>
      <c r="I46" s="246"/>
      <c r="J46" s="246"/>
      <c r="K46" s="246"/>
      <c r="L46" s="246"/>
      <c r="M46" s="246"/>
      <c r="N46" s="246"/>
      <c r="O46" s="246"/>
      <c r="P46" s="246"/>
    </row>
    <row r="54" spans="2:3" x14ac:dyDescent="0.35">
      <c r="B54" s="255"/>
      <c r="C54" s="255"/>
    </row>
    <row r="55" spans="2:3" x14ac:dyDescent="0.35">
      <c r="B55" s="255"/>
      <c r="C55" s="255"/>
    </row>
    <row r="56" spans="2:3" x14ac:dyDescent="0.35">
      <c r="B56" s="255"/>
      <c r="C56" s="255"/>
    </row>
  </sheetData>
  <mergeCells count="46">
    <mergeCell ref="B38:D38"/>
    <mergeCell ref="B55:C55"/>
    <mergeCell ref="B56:C56"/>
    <mergeCell ref="B27:P27"/>
    <mergeCell ref="B28:P28"/>
    <mergeCell ref="B30:P30"/>
    <mergeCell ref="B31:P31"/>
    <mergeCell ref="B54:C54"/>
    <mergeCell ref="B33:P33"/>
    <mergeCell ref="B34:P34"/>
    <mergeCell ref="B35:P35"/>
    <mergeCell ref="B37:P37"/>
    <mergeCell ref="B39:P39"/>
    <mergeCell ref="B41:P41"/>
    <mergeCell ref="B42:P42"/>
    <mergeCell ref="B43:P43"/>
    <mergeCell ref="B7:P7"/>
    <mergeCell ref="B8:P8"/>
    <mergeCell ref="B9:P9"/>
    <mergeCell ref="B10:P10"/>
    <mergeCell ref="B22:P22"/>
    <mergeCell ref="E19:P19"/>
    <mergeCell ref="E20:P20"/>
    <mergeCell ref="E16:P16"/>
    <mergeCell ref="B15:D15"/>
    <mergeCell ref="E15:P15"/>
    <mergeCell ref="B17:D17"/>
    <mergeCell ref="E17:P17"/>
    <mergeCell ref="B12:D12"/>
    <mergeCell ref="E12:P12"/>
    <mergeCell ref="B45:P45"/>
    <mergeCell ref="B46:P46"/>
    <mergeCell ref="B13:D13"/>
    <mergeCell ref="B14:D14"/>
    <mergeCell ref="B18:D18"/>
    <mergeCell ref="B19:D19"/>
    <mergeCell ref="B20:D20"/>
    <mergeCell ref="E13:P13"/>
    <mergeCell ref="E14:P14"/>
    <mergeCell ref="E18:P18"/>
    <mergeCell ref="B23:P23"/>
    <mergeCell ref="B24:P24"/>
    <mergeCell ref="B25:P25"/>
    <mergeCell ref="B26:P26"/>
    <mergeCell ref="B44:P44"/>
    <mergeCell ref="B16:D16"/>
  </mergeCells>
  <hyperlinks>
    <hyperlink ref="B34:P34" r:id="rId1" display="                            Email: enquiries@nhsdigital.nhs.uk" xr:uid="{00000000-0004-0000-0000-000000000000}"/>
    <hyperlink ref="B13:D13" location="'Version History'!A1" display="Version History" xr:uid="{00000000-0004-0000-0000-000001000000}"/>
    <hyperlink ref="B14:D14" location="'Monthly Core Data Measures'!A1" display="Monthly Core Data Measures" xr:uid="{00000000-0004-0000-0000-000002000000}"/>
    <hyperlink ref="B19:D19" location="'Data Quality Measures'!A1" display="Data Quality Measures" xr:uid="{00000000-0004-0000-0000-000004000000}"/>
    <hyperlink ref="B20:D20" location="Glossary!A1" display="Glossary" xr:uid="{00000000-0004-0000-0000-000005000000}"/>
    <hyperlink ref="B26" r:id="rId2" xr:uid="{00000000-0004-0000-0000-000006000000}"/>
    <hyperlink ref="B24" r:id="rId3" xr:uid="{00000000-0004-0000-0000-000007000000}"/>
    <hyperlink ref="B28" r:id="rId4" display="http://systems.digital.nhs.uk/data/ods/datadownloads" xr:uid="{00000000-0004-0000-0000-000008000000}"/>
    <hyperlink ref="B24:P24" r:id="rId5" display="https://digital.nhs.uk/Community-Services-Data-Set/Reports" xr:uid="{00000000-0004-0000-0000-000009000000}"/>
    <hyperlink ref="B28:P28" r:id="rId6" display="https://digital.nhs.uk/services/organisation-data-service" xr:uid="{00000000-0004-0000-0000-00000A000000}"/>
    <hyperlink ref="B43:P43" r:id="rId7" display="www.nationalarchives.gov.uk/doc/open-government-licence " xr:uid="{3F9107D3-22FB-4E5E-9634-05CA7F7FF394}"/>
    <hyperlink ref="B26:P26" r:id="rId8" display="https://www.datadictionary.nhs.uk/data_sets/clinical_data_sets/community_services_data_set.html?hl=community" xr:uid="{6BA77BEE-AEC3-4EDA-AFBF-4A23597CC587}"/>
    <hyperlink ref="B18:D18" location="'Monthly HV Data Measures'!A1" display="Monthly HV Data Measures" xr:uid="{E8D41E45-44FE-4FE8-895E-ED744BBF64DF}"/>
    <hyperlink ref="B16:D16" location="'Monthly Core Data Measures'!A1" display="Monthly Core Data Measures" xr:uid="{CF9E1998-25CC-47F2-B259-0059C72153B9}"/>
    <hyperlink ref="B15:D15" location="'Table 1a Field names'!A1" display="Table 1a Field Names" xr:uid="{793D2DA2-2591-4960-8D21-8086A5E07EDE}"/>
    <hyperlink ref="B17:D17" location="'Table 1c Counts'!A1" display="Table 1c Counts" xr:uid="{FA8FA55D-FC62-41BE-A682-6D4187F93079}"/>
    <hyperlink ref="B12:D12" location="Notes!A1" display="Notes" xr:uid="{CEC9A775-5750-4390-B532-E14542767D8C}"/>
  </hyperlinks>
  <pageMargins left="0.7" right="0.7" top="0.75" bottom="0.75" header="0.3" footer="0.3"/>
  <pageSetup paperSize="8" scale="84" orientation="landscape" r:id="rId9"/>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2A118-4382-4B84-A644-A6E7F3A04482}">
  <dimension ref="B1:O30"/>
  <sheetViews>
    <sheetView showGridLines="0" zoomScaleNormal="100" workbookViewId="0">
      <pane ySplit="10" topLeftCell="A11" activePane="bottomLeft" state="frozen"/>
      <selection pane="bottomLeft"/>
    </sheetView>
  </sheetViews>
  <sheetFormatPr defaultColWidth="8.90625" defaultRowHeight="14" x14ac:dyDescent="0.3"/>
  <cols>
    <col min="1" max="1" width="2.453125" style="8" customWidth="1"/>
    <col min="2" max="2" width="36.54296875" style="8" customWidth="1"/>
    <col min="3" max="3" width="1.453125" style="8" customWidth="1"/>
    <col min="4" max="16384" width="8.90625" style="8"/>
  </cols>
  <sheetData>
    <row r="1" spans="2:15" s="6" customFormat="1" ht="15" customHeight="1" x14ac:dyDescent="0.3">
      <c r="D1" s="18"/>
    </row>
    <row r="2" spans="2:15" s="6" customFormat="1" ht="15" customHeight="1" x14ac:dyDescent="0.3">
      <c r="D2" s="18"/>
    </row>
    <row r="3" spans="2:15" s="6" customFormat="1" ht="15" customHeight="1" x14ac:dyDescent="0.3">
      <c r="D3" s="18"/>
    </row>
    <row r="4" spans="2:15" s="6" customFormat="1" ht="15" customHeight="1" x14ac:dyDescent="0.3">
      <c r="D4" s="18"/>
    </row>
    <row r="5" spans="2:15" s="6" customFormat="1" ht="15" customHeight="1" x14ac:dyDescent="0.3">
      <c r="D5" s="18"/>
    </row>
    <row r="6" spans="2:15" s="6" customFormat="1" ht="15" customHeight="1" x14ac:dyDescent="0.3">
      <c r="D6" s="18"/>
    </row>
    <row r="8" spans="2:15" x14ac:dyDescent="0.3">
      <c r="B8" s="259" t="s">
        <v>24</v>
      </c>
      <c r="C8" s="259"/>
    </row>
    <row r="9" spans="2:15" s="6" customFormat="1" ht="33.9" customHeight="1" x14ac:dyDescent="0.35">
      <c r="B9" s="252" t="str">
        <f>Cover!B7</f>
        <v>Community Services Statistics</v>
      </c>
      <c r="C9" s="252"/>
      <c r="D9" s="252"/>
      <c r="E9" s="252"/>
      <c r="F9" s="252"/>
      <c r="G9" s="252"/>
      <c r="H9" s="252"/>
      <c r="I9" s="252"/>
      <c r="J9" s="252"/>
      <c r="K9" s="252"/>
      <c r="L9" s="252"/>
      <c r="M9" s="252"/>
      <c r="N9" s="252"/>
      <c r="O9" s="252"/>
    </row>
    <row r="10" spans="2:15" ht="26.25" customHeight="1" x14ac:dyDescent="0.3">
      <c r="B10" s="253" t="s">
        <v>938</v>
      </c>
      <c r="C10" s="253"/>
      <c r="D10" s="253"/>
      <c r="E10" s="253"/>
      <c r="F10" s="253"/>
      <c r="G10" s="253"/>
      <c r="H10" s="253"/>
      <c r="I10" s="253"/>
      <c r="J10" s="253"/>
      <c r="K10" s="253"/>
      <c r="L10" s="253"/>
      <c r="M10" s="253"/>
      <c r="N10" s="253"/>
      <c r="O10" s="253"/>
    </row>
    <row r="11" spans="2:15" ht="12" customHeight="1" x14ac:dyDescent="0.5">
      <c r="B11" s="124"/>
      <c r="C11" s="124"/>
      <c r="D11" s="171"/>
      <c r="E11" s="124"/>
      <c r="F11" s="124"/>
      <c r="G11" s="124"/>
      <c r="H11" s="124"/>
      <c r="I11" s="124"/>
      <c r="J11" s="124"/>
      <c r="K11" s="124"/>
      <c r="L11" s="124"/>
      <c r="M11" s="124"/>
      <c r="N11" s="124"/>
      <c r="O11" s="124"/>
    </row>
    <row r="12" spans="2:15" ht="29.4" customHeight="1" x14ac:dyDescent="0.3">
      <c r="B12" s="191" t="s">
        <v>3</v>
      </c>
      <c r="D12" s="257" t="s">
        <v>4</v>
      </c>
      <c r="E12" s="257"/>
      <c r="F12" s="257"/>
      <c r="G12" s="257"/>
      <c r="H12" s="257"/>
      <c r="I12" s="257"/>
      <c r="J12" s="257"/>
      <c r="K12" s="257"/>
      <c r="L12" s="257"/>
      <c r="M12" s="257"/>
      <c r="N12" s="257"/>
      <c r="O12" s="257"/>
    </row>
    <row r="13" spans="2:15" ht="30" customHeight="1" x14ac:dyDescent="0.3">
      <c r="B13" s="191" t="s">
        <v>1157</v>
      </c>
      <c r="D13" s="258" t="s">
        <v>1093</v>
      </c>
      <c r="E13" s="258"/>
      <c r="F13" s="258"/>
      <c r="G13" s="258"/>
      <c r="H13" s="258"/>
      <c r="I13" s="258"/>
      <c r="J13" s="258"/>
      <c r="K13" s="258"/>
      <c r="L13" s="258"/>
      <c r="M13" s="258"/>
      <c r="N13" s="258"/>
      <c r="O13" s="258"/>
    </row>
    <row r="14" spans="2:15" ht="31.5" customHeight="1" x14ac:dyDescent="0.3">
      <c r="B14" s="191" t="s">
        <v>928</v>
      </c>
      <c r="D14" s="257" t="s">
        <v>930</v>
      </c>
      <c r="E14" s="257"/>
      <c r="F14" s="257"/>
      <c r="G14" s="257"/>
      <c r="H14" s="257"/>
      <c r="I14" s="257"/>
      <c r="J14" s="257"/>
      <c r="K14" s="257"/>
      <c r="L14" s="257"/>
      <c r="M14" s="257"/>
      <c r="N14" s="257"/>
      <c r="O14" s="257"/>
    </row>
    <row r="15" spans="2:15" ht="94.5" customHeight="1" x14ac:dyDescent="0.3">
      <c r="B15" s="191" t="s">
        <v>929</v>
      </c>
      <c r="D15" s="257" t="s">
        <v>1161</v>
      </c>
      <c r="E15" s="257"/>
      <c r="F15" s="257"/>
      <c r="G15" s="257"/>
      <c r="H15" s="257"/>
      <c r="I15" s="257"/>
      <c r="J15" s="257"/>
      <c r="K15" s="257"/>
      <c r="L15" s="257"/>
      <c r="M15" s="257"/>
      <c r="N15" s="257"/>
      <c r="O15" s="257"/>
    </row>
    <row r="16" spans="2:15" ht="69.650000000000006" customHeight="1" x14ac:dyDescent="0.3">
      <c r="B16" s="191" t="s">
        <v>925</v>
      </c>
      <c r="D16" s="257" t="s">
        <v>1162</v>
      </c>
      <c r="E16" s="257"/>
      <c r="F16" s="257"/>
      <c r="G16" s="257"/>
      <c r="H16" s="257"/>
      <c r="I16" s="257"/>
      <c r="J16" s="257"/>
      <c r="K16" s="257"/>
      <c r="L16" s="257"/>
      <c r="M16" s="257"/>
      <c r="N16" s="257"/>
      <c r="O16" s="257"/>
    </row>
    <row r="17" spans="2:15" ht="26.15" customHeight="1" x14ac:dyDescent="0.3">
      <c r="B17" s="191" t="s">
        <v>5</v>
      </c>
      <c r="D17" s="257" t="s">
        <v>937</v>
      </c>
      <c r="E17" s="257"/>
      <c r="F17" s="257"/>
      <c r="G17" s="257"/>
      <c r="H17" s="257"/>
      <c r="I17" s="257"/>
      <c r="J17" s="257"/>
      <c r="K17" s="257"/>
      <c r="L17" s="257"/>
      <c r="M17" s="257"/>
      <c r="N17" s="257"/>
      <c r="O17" s="257"/>
    </row>
    <row r="18" spans="2:15" ht="90.9" customHeight="1" x14ac:dyDescent="0.3">
      <c r="B18" s="191" t="s">
        <v>6</v>
      </c>
      <c r="C18" s="15"/>
      <c r="D18" s="260" t="s">
        <v>940</v>
      </c>
      <c r="E18" s="260"/>
      <c r="F18" s="260"/>
      <c r="G18" s="260"/>
      <c r="H18" s="260"/>
      <c r="I18" s="260"/>
      <c r="J18" s="260"/>
      <c r="K18" s="260"/>
      <c r="L18" s="260"/>
      <c r="M18" s="260"/>
      <c r="N18" s="260"/>
      <c r="O18" s="260"/>
    </row>
    <row r="19" spans="2:15" ht="26.4" customHeight="1" x14ac:dyDescent="0.3">
      <c r="B19" s="191" t="s">
        <v>7</v>
      </c>
      <c r="D19" s="15" t="s">
        <v>8</v>
      </c>
      <c r="E19" s="15"/>
      <c r="F19" s="15"/>
      <c r="G19" s="15"/>
      <c r="H19" s="15"/>
      <c r="I19" s="15"/>
      <c r="J19" s="15"/>
      <c r="K19" s="15"/>
      <c r="L19" s="15"/>
      <c r="M19" s="15"/>
      <c r="N19" s="15"/>
      <c r="O19" s="15"/>
    </row>
    <row r="21" spans="2:15" ht="16.75" customHeight="1" x14ac:dyDescent="0.3">
      <c r="B21" s="246" t="s">
        <v>923</v>
      </c>
      <c r="C21" s="246"/>
      <c r="D21" s="246"/>
    </row>
    <row r="22" spans="2:15" x14ac:dyDescent="0.3">
      <c r="B22" s="16"/>
      <c r="C22" s="16"/>
      <c r="D22" s="172"/>
      <c r="E22" s="16"/>
      <c r="F22" s="16"/>
      <c r="G22" s="16"/>
      <c r="H22" s="16"/>
      <c r="I22" s="16"/>
      <c r="J22" s="16"/>
      <c r="K22" s="16"/>
      <c r="L22" s="16"/>
      <c r="M22" s="16"/>
      <c r="N22" s="16"/>
      <c r="O22" s="16"/>
    </row>
    <row r="23" spans="2:15" x14ac:dyDescent="0.3">
      <c r="B23" s="247"/>
      <c r="C23" s="247"/>
      <c r="D23" s="247"/>
      <c r="E23" s="248"/>
      <c r="F23" s="248"/>
      <c r="G23" s="248"/>
      <c r="H23" s="248"/>
      <c r="I23" s="248"/>
      <c r="J23" s="248"/>
      <c r="K23" s="248"/>
      <c r="L23" s="248"/>
      <c r="M23" s="248"/>
      <c r="N23" s="248"/>
      <c r="O23" s="248"/>
    </row>
    <row r="24" spans="2:15" x14ac:dyDescent="0.3">
      <c r="B24" s="247"/>
      <c r="C24" s="247"/>
      <c r="D24" s="247"/>
      <c r="E24" s="248"/>
      <c r="F24" s="248"/>
      <c r="G24" s="248"/>
      <c r="H24" s="248"/>
      <c r="I24" s="248"/>
      <c r="J24" s="248"/>
      <c r="K24" s="248"/>
      <c r="L24" s="248"/>
      <c r="M24" s="248"/>
      <c r="N24" s="248"/>
      <c r="O24" s="248"/>
    </row>
    <row r="25" spans="2:15" x14ac:dyDescent="0.3">
      <c r="B25" s="247"/>
      <c r="C25" s="247"/>
      <c r="D25" s="247"/>
      <c r="E25" s="248"/>
      <c r="F25" s="248"/>
      <c r="G25" s="248"/>
      <c r="H25" s="248"/>
      <c r="I25" s="248"/>
      <c r="J25" s="248"/>
      <c r="K25" s="248"/>
      <c r="L25" s="248"/>
      <c r="M25" s="248"/>
      <c r="N25" s="248"/>
      <c r="O25" s="248"/>
    </row>
    <row r="26" spans="2:15" x14ac:dyDescent="0.3">
      <c r="B26" s="247"/>
      <c r="C26" s="247"/>
      <c r="D26" s="247"/>
      <c r="E26" s="248"/>
      <c r="F26" s="248"/>
      <c r="G26" s="248"/>
      <c r="H26" s="248"/>
      <c r="I26" s="248"/>
      <c r="J26" s="248"/>
      <c r="K26" s="248"/>
      <c r="L26" s="248"/>
      <c r="M26" s="248"/>
      <c r="N26" s="248"/>
      <c r="O26" s="248"/>
    </row>
    <row r="27" spans="2:15" x14ac:dyDescent="0.3">
      <c r="B27" s="247"/>
      <c r="C27" s="247"/>
      <c r="D27" s="247"/>
      <c r="E27" s="248"/>
      <c r="F27" s="248"/>
      <c r="G27" s="248"/>
      <c r="H27" s="248"/>
      <c r="I27" s="248"/>
      <c r="J27" s="248"/>
      <c r="K27" s="248"/>
      <c r="L27" s="248"/>
      <c r="M27" s="248"/>
      <c r="N27" s="248"/>
      <c r="O27" s="248"/>
    </row>
    <row r="28" spans="2:15" x14ac:dyDescent="0.3">
      <c r="B28" s="247"/>
      <c r="C28" s="247"/>
      <c r="D28" s="247"/>
      <c r="E28" s="248"/>
      <c r="F28" s="248"/>
      <c r="G28" s="248"/>
      <c r="H28" s="248"/>
      <c r="I28" s="248"/>
      <c r="J28" s="248"/>
      <c r="K28" s="248"/>
      <c r="L28" s="248"/>
      <c r="M28" s="248"/>
      <c r="N28" s="248"/>
      <c r="O28" s="248"/>
    </row>
    <row r="29" spans="2:15" x14ac:dyDescent="0.3">
      <c r="B29" s="247"/>
      <c r="C29" s="247"/>
      <c r="D29" s="247"/>
      <c r="E29" s="248"/>
      <c r="F29" s="248"/>
      <c r="G29" s="248"/>
      <c r="H29" s="248"/>
      <c r="I29" s="248"/>
      <c r="J29" s="248"/>
      <c r="K29" s="248"/>
      <c r="L29" s="248"/>
      <c r="M29" s="248"/>
      <c r="N29" s="248"/>
      <c r="O29" s="248"/>
    </row>
    <row r="30" spans="2:15" x14ac:dyDescent="0.3">
      <c r="B30" s="247"/>
      <c r="C30" s="247"/>
      <c r="D30" s="247"/>
      <c r="E30" s="248"/>
      <c r="F30" s="248"/>
      <c r="G30" s="248"/>
      <c r="H30" s="248"/>
      <c r="I30" s="248"/>
      <c r="J30" s="248"/>
      <c r="K30" s="248"/>
      <c r="L30" s="248"/>
      <c r="M30" s="248"/>
      <c r="N30" s="248"/>
      <c r="O30" s="248"/>
    </row>
  </sheetData>
  <mergeCells count="27">
    <mergeCell ref="B8:C8"/>
    <mergeCell ref="B9:O9"/>
    <mergeCell ref="B10:O10"/>
    <mergeCell ref="B29:D29"/>
    <mergeCell ref="E29:O29"/>
    <mergeCell ref="E23:O23"/>
    <mergeCell ref="B24:D24"/>
    <mergeCell ref="E24:O24"/>
    <mergeCell ref="B25:D25"/>
    <mergeCell ref="E25:O25"/>
    <mergeCell ref="D18:O18"/>
    <mergeCell ref="B21:D21"/>
    <mergeCell ref="B30:D30"/>
    <mergeCell ref="E30:O30"/>
    <mergeCell ref="D12:O12"/>
    <mergeCell ref="D13:O13"/>
    <mergeCell ref="D14:O14"/>
    <mergeCell ref="D15:O15"/>
    <mergeCell ref="D16:O16"/>
    <mergeCell ref="D17:O17"/>
    <mergeCell ref="B26:D26"/>
    <mergeCell ref="E26:O26"/>
    <mergeCell ref="B27:D27"/>
    <mergeCell ref="E27:O27"/>
    <mergeCell ref="B28:D28"/>
    <mergeCell ref="E28:O28"/>
    <mergeCell ref="B23:D23"/>
  </mergeCells>
  <hyperlinks>
    <hyperlink ref="B8" location="Cover!A1" display="Back to contents" xr:uid="{F08DBF2D-EF00-49F0-A75F-AEF8C60657E2}"/>
  </hyperlinks>
  <pageMargins left="0.7" right="0.7" top="0.75" bottom="0.75" header="0.3" footer="0.3"/>
  <pageSetup paperSize="9" scale="5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Q26"/>
  <sheetViews>
    <sheetView showGridLines="0" zoomScaleNormal="100" workbookViewId="0">
      <pane ySplit="11" topLeftCell="A19" activePane="bottomLeft" state="frozen"/>
      <selection pane="bottomLeft" activeCell="P27" sqref="P27"/>
    </sheetView>
  </sheetViews>
  <sheetFormatPr defaultColWidth="8.6328125" defaultRowHeight="14" x14ac:dyDescent="0.3"/>
  <cols>
    <col min="1" max="1" width="2.54296875" style="8" customWidth="1"/>
    <col min="2" max="2" width="8.6328125" style="8"/>
    <col min="3" max="3" width="13.08984375" style="8" bestFit="1" customWidth="1"/>
    <col min="4" max="16384" width="8.6328125" style="8"/>
  </cols>
  <sheetData>
    <row r="1" spans="2:17" s="6" customFormat="1" ht="15" customHeight="1" x14ac:dyDescent="0.35"/>
    <row r="2" spans="2:17" s="6" customFormat="1" ht="15" customHeight="1" x14ac:dyDescent="0.35"/>
    <row r="3" spans="2:17" s="6" customFormat="1" ht="15" customHeight="1" x14ac:dyDescent="0.35"/>
    <row r="4" spans="2:17" s="6" customFormat="1" ht="15" customHeight="1" x14ac:dyDescent="0.35"/>
    <row r="5" spans="2:17" s="6" customFormat="1" ht="15" customHeight="1" x14ac:dyDescent="0.35"/>
    <row r="6" spans="2:17" s="6" customFormat="1" ht="15" customHeight="1" x14ac:dyDescent="0.35"/>
    <row r="7" spans="2:17" s="6" customFormat="1" ht="15" customHeight="1" x14ac:dyDescent="0.35">
      <c r="B7" s="259" t="s">
        <v>24</v>
      </c>
      <c r="C7" s="259"/>
    </row>
    <row r="8" spans="2:17" s="6" customFormat="1" ht="34" x14ac:dyDescent="0.35">
      <c r="B8" s="252" t="str">
        <f>Cover!B7</f>
        <v>Community Services Statistics</v>
      </c>
      <c r="C8" s="252"/>
      <c r="D8" s="252"/>
      <c r="E8" s="252"/>
      <c r="F8" s="252"/>
      <c r="G8" s="252"/>
      <c r="H8" s="252"/>
      <c r="I8" s="252"/>
      <c r="J8" s="252"/>
      <c r="K8" s="252"/>
      <c r="L8" s="252"/>
      <c r="M8" s="252"/>
      <c r="N8" s="252"/>
      <c r="O8" s="252"/>
      <c r="P8" s="252"/>
      <c r="Q8" s="252"/>
    </row>
    <row r="9" spans="2:17" ht="26.25" customHeight="1" x14ac:dyDescent="0.3">
      <c r="B9" s="253" t="s">
        <v>25</v>
      </c>
      <c r="C9" s="253"/>
      <c r="D9" s="253"/>
      <c r="E9" s="253"/>
      <c r="F9" s="253"/>
      <c r="G9" s="253"/>
      <c r="H9" s="253"/>
      <c r="I9" s="253"/>
      <c r="J9" s="253"/>
      <c r="K9" s="253"/>
      <c r="L9" s="253"/>
      <c r="M9" s="253"/>
      <c r="N9" s="253"/>
      <c r="O9" s="253"/>
      <c r="P9" s="253"/>
      <c r="Q9" s="253"/>
    </row>
    <row r="10" spans="2:17" ht="9" customHeight="1" x14ac:dyDescent="0.3"/>
    <row r="11" spans="2:17" ht="15" customHeight="1" x14ac:dyDescent="0.3">
      <c r="B11" s="195" t="s">
        <v>26</v>
      </c>
      <c r="C11" s="195" t="s">
        <v>27</v>
      </c>
      <c r="D11" s="264" t="s">
        <v>28</v>
      </c>
      <c r="E11" s="264"/>
      <c r="F11" s="264"/>
      <c r="G11" s="264"/>
      <c r="H11" s="264"/>
      <c r="I11" s="264"/>
      <c r="J11" s="264"/>
      <c r="K11" s="264"/>
      <c r="L11" s="264"/>
      <c r="M11" s="264"/>
      <c r="N11" s="264"/>
      <c r="O11" s="264"/>
      <c r="P11" s="264"/>
      <c r="Q11" s="264"/>
    </row>
    <row r="12" spans="2:17" s="15" customFormat="1" ht="19.25" customHeight="1" x14ac:dyDescent="0.35">
      <c r="B12" s="218" t="s">
        <v>29</v>
      </c>
      <c r="C12" s="219">
        <v>42642</v>
      </c>
      <c r="D12" s="263" t="s">
        <v>30</v>
      </c>
      <c r="E12" s="263"/>
      <c r="F12" s="263"/>
      <c r="G12" s="263"/>
      <c r="H12" s="263"/>
      <c r="I12" s="263"/>
      <c r="J12" s="263"/>
      <c r="K12" s="263"/>
      <c r="L12" s="263"/>
      <c r="M12" s="263"/>
      <c r="N12" s="263"/>
      <c r="O12" s="263"/>
      <c r="P12" s="263"/>
      <c r="Q12" s="263"/>
    </row>
    <row r="13" spans="2:17" ht="142.75" customHeight="1" x14ac:dyDescent="0.3">
      <c r="B13" s="218">
        <v>1.1000000000000001</v>
      </c>
      <c r="C13" s="219">
        <v>42676</v>
      </c>
      <c r="D13" s="262" t="s">
        <v>31</v>
      </c>
      <c r="E13" s="263"/>
      <c r="F13" s="263"/>
      <c r="G13" s="263"/>
      <c r="H13" s="263"/>
      <c r="I13" s="263"/>
      <c r="J13" s="263"/>
      <c r="K13" s="263"/>
      <c r="L13" s="263"/>
      <c r="M13" s="263"/>
      <c r="N13" s="263"/>
      <c r="O13" s="263"/>
      <c r="P13" s="263"/>
      <c r="Q13" s="263"/>
    </row>
    <row r="14" spans="2:17" s="15" customFormat="1" ht="19.25" customHeight="1" x14ac:dyDescent="0.35">
      <c r="B14" s="218">
        <v>1.2</v>
      </c>
      <c r="C14" s="219">
        <v>42804</v>
      </c>
      <c r="D14" s="262" t="s">
        <v>32</v>
      </c>
      <c r="E14" s="263"/>
      <c r="F14" s="263"/>
      <c r="G14" s="263"/>
      <c r="H14" s="263"/>
      <c r="I14" s="263"/>
      <c r="J14" s="263"/>
      <c r="K14" s="263"/>
      <c r="L14" s="263"/>
      <c r="M14" s="263"/>
      <c r="N14" s="263"/>
      <c r="O14" s="263"/>
      <c r="P14" s="263"/>
      <c r="Q14" s="263"/>
    </row>
    <row r="15" spans="2:17" s="15" customFormat="1" ht="19.25" customHeight="1" x14ac:dyDescent="0.35">
      <c r="B15" s="218">
        <v>1.3</v>
      </c>
      <c r="C15" s="219">
        <v>42837</v>
      </c>
      <c r="D15" s="262" t="s">
        <v>33</v>
      </c>
      <c r="E15" s="263"/>
      <c r="F15" s="263"/>
      <c r="G15" s="263"/>
      <c r="H15" s="263"/>
      <c r="I15" s="263"/>
      <c r="J15" s="263"/>
      <c r="K15" s="263"/>
      <c r="L15" s="263"/>
      <c r="M15" s="263"/>
      <c r="N15" s="263"/>
      <c r="O15" s="263"/>
      <c r="P15" s="263"/>
      <c r="Q15" s="263"/>
    </row>
    <row r="16" spans="2:17" ht="30" customHeight="1" x14ac:dyDescent="0.3">
      <c r="B16" s="218">
        <v>1.4</v>
      </c>
      <c r="C16" s="219">
        <v>43019</v>
      </c>
      <c r="D16" s="262" t="s">
        <v>34</v>
      </c>
      <c r="E16" s="262"/>
      <c r="F16" s="262"/>
      <c r="G16" s="262"/>
      <c r="H16" s="262"/>
      <c r="I16" s="262"/>
      <c r="J16" s="262"/>
      <c r="K16" s="262"/>
      <c r="L16" s="262"/>
      <c r="M16" s="262"/>
      <c r="N16" s="262"/>
      <c r="O16" s="262"/>
      <c r="P16" s="262"/>
      <c r="Q16" s="262"/>
    </row>
    <row r="17" spans="2:17" s="15" customFormat="1" ht="19.25" customHeight="1" x14ac:dyDescent="0.35">
      <c r="B17" s="218">
        <v>1.5</v>
      </c>
      <c r="C17" s="219">
        <v>43144</v>
      </c>
      <c r="D17" s="262" t="s">
        <v>35</v>
      </c>
      <c r="E17" s="262"/>
      <c r="F17" s="262"/>
      <c r="G17" s="262"/>
      <c r="H17" s="262"/>
      <c r="I17" s="262"/>
      <c r="J17" s="262"/>
      <c r="K17" s="262"/>
      <c r="L17" s="262"/>
      <c r="M17" s="262"/>
      <c r="N17" s="262"/>
      <c r="O17" s="262"/>
      <c r="P17" s="262"/>
      <c r="Q17" s="262"/>
    </row>
    <row r="18" spans="2:17" ht="45.75" customHeight="1" x14ac:dyDescent="0.3">
      <c r="B18" s="218">
        <v>1.6</v>
      </c>
      <c r="C18" s="219">
        <v>43200</v>
      </c>
      <c r="D18" s="262" t="s">
        <v>36</v>
      </c>
      <c r="E18" s="263"/>
      <c r="F18" s="263"/>
      <c r="G18" s="263"/>
      <c r="H18" s="263"/>
      <c r="I18" s="263"/>
      <c r="J18" s="263"/>
      <c r="K18" s="263"/>
      <c r="L18" s="263"/>
      <c r="M18" s="263"/>
      <c r="N18" s="263"/>
      <c r="O18" s="263"/>
      <c r="P18" s="263"/>
      <c r="Q18" s="263"/>
    </row>
    <row r="19" spans="2:17" ht="31.25" customHeight="1" x14ac:dyDescent="0.3">
      <c r="B19" s="218">
        <v>1.7</v>
      </c>
      <c r="C19" s="219">
        <v>43563</v>
      </c>
      <c r="D19" s="262" t="s">
        <v>37</v>
      </c>
      <c r="E19" s="263"/>
      <c r="F19" s="263"/>
      <c r="G19" s="263"/>
      <c r="H19" s="263"/>
      <c r="I19" s="263"/>
      <c r="J19" s="263"/>
      <c r="K19" s="263"/>
      <c r="L19" s="263"/>
      <c r="M19" s="263"/>
      <c r="N19" s="263"/>
      <c r="O19" s="263"/>
      <c r="P19" s="263"/>
      <c r="Q19" s="263"/>
    </row>
    <row r="20" spans="2:17" s="15" customFormat="1" ht="19.25" customHeight="1" x14ac:dyDescent="0.35">
      <c r="B20" s="220" t="s">
        <v>38</v>
      </c>
      <c r="C20" s="219">
        <v>44125</v>
      </c>
      <c r="D20" s="265" t="s">
        <v>39</v>
      </c>
      <c r="E20" s="266"/>
      <c r="F20" s="266"/>
      <c r="G20" s="266"/>
      <c r="H20" s="266"/>
      <c r="I20" s="266"/>
      <c r="J20" s="266"/>
      <c r="K20" s="266"/>
      <c r="L20" s="266"/>
      <c r="M20" s="266"/>
      <c r="N20" s="266"/>
      <c r="O20" s="266"/>
      <c r="P20" s="266"/>
      <c r="Q20" s="267"/>
    </row>
    <row r="21" spans="2:17" s="15" customFormat="1" ht="69.5" customHeight="1" x14ac:dyDescent="0.35">
      <c r="B21" s="221" t="s">
        <v>717</v>
      </c>
      <c r="C21" s="222">
        <v>44986</v>
      </c>
      <c r="D21" s="261" t="s">
        <v>1094</v>
      </c>
      <c r="E21" s="261"/>
      <c r="F21" s="261"/>
      <c r="G21" s="261"/>
      <c r="H21" s="261"/>
      <c r="I21" s="261"/>
      <c r="J21" s="261"/>
      <c r="K21" s="261"/>
      <c r="L21" s="261"/>
      <c r="M21" s="261"/>
      <c r="N21" s="261"/>
      <c r="O21" s="261"/>
      <c r="P21" s="261"/>
      <c r="Q21" s="261"/>
    </row>
    <row r="22" spans="2:17" ht="21" customHeight="1" x14ac:dyDescent="0.3">
      <c r="B22" s="221" t="s">
        <v>1179</v>
      </c>
      <c r="C22" s="222">
        <v>45104</v>
      </c>
      <c r="D22" s="261" t="s">
        <v>1180</v>
      </c>
      <c r="E22" s="261"/>
      <c r="F22" s="261"/>
      <c r="G22" s="261"/>
      <c r="H22" s="261"/>
      <c r="I22" s="261"/>
      <c r="J22" s="261"/>
      <c r="K22" s="261"/>
      <c r="L22" s="261"/>
      <c r="M22" s="261"/>
      <c r="N22" s="261"/>
      <c r="O22" s="261"/>
      <c r="P22" s="261"/>
      <c r="Q22" s="261"/>
    </row>
    <row r="23" spans="2:17" ht="15" customHeight="1" x14ac:dyDescent="0.3"/>
    <row r="24" spans="2:17" ht="15" customHeight="1" x14ac:dyDescent="0.3">
      <c r="B24" s="8" t="s">
        <v>40</v>
      </c>
    </row>
    <row r="25" spans="2:17" ht="15" customHeight="1" x14ac:dyDescent="0.3">
      <c r="B25" s="8" t="s">
        <v>1160</v>
      </c>
    </row>
    <row r="26" spans="2:17" ht="15" customHeight="1" x14ac:dyDescent="0.3"/>
  </sheetData>
  <mergeCells count="15">
    <mergeCell ref="D22:Q22"/>
    <mergeCell ref="B7:C7"/>
    <mergeCell ref="B8:Q8"/>
    <mergeCell ref="B9:Q9"/>
    <mergeCell ref="D14:Q14"/>
    <mergeCell ref="D15:Q15"/>
    <mergeCell ref="D13:Q13"/>
    <mergeCell ref="D11:Q11"/>
    <mergeCell ref="D12:Q12"/>
    <mergeCell ref="D21:Q21"/>
    <mergeCell ref="D19:Q19"/>
    <mergeCell ref="D18:Q18"/>
    <mergeCell ref="D17:Q17"/>
    <mergeCell ref="D16:Q16"/>
    <mergeCell ref="D20:Q20"/>
  </mergeCells>
  <hyperlinks>
    <hyperlink ref="B7" location="Cover!A1" display="Back to contents" xr:uid="{00000000-0004-0000-0100-000000000000}"/>
  </hyperlinks>
  <pageMargins left="0.7" right="0.7" top="0.75" bottom="0.75" header="0.3" footer="0.3"/>
  <pageSetup paperSize="9" scale="60" orientation="portrait" r:id="rId1"/>
  <ignoredErrors>
    <ignoredError sqref="B20 B12" numberStoredAsText="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87DC2-32CA-4653-BACA-94A924C923EE}">
  <sheetPr filterMode="1"/>
  <dimension ref="B3:P99"/>
  <sheetViews>
    <sheetView showGridLines="0" topLeftCell="E1" zoomScale="85" zoomScaleNormal="85" workbookViewId="0">
      <pane ySplit="9" topLeftCell="A10" activePane="bottomLeft" state="frozen"/>
      <selection activeCell="A30" sqref="A30"/>
      <selection pane="bottomLeft" activeCell="J11" sqref="J11"/>
    </sheetView>
  </sheetViews>
  <sheetFormatPr defaultColWidth="11.36328125" defaultRowHeight="14" x14ac:dyDescent="0.3"/>
  <cols>
    <col min="1" max="1" width="2.6328125" style="113" customWidth="1"/>
    <col min="2" max="2" width="16.90625" style="130" customWidth="1"/>
    <col min="3" max="3" width="14.90625" style="130" hidden="1" customWidth="1"/>
    <col min="4" max="4" width="23.90625" style="123" customWidth="1"/>
    <col min="5" max="5" width="56.6328125" style="111" customWidth="1"/>
    <col min="6" max="6" width="55.54296875" style="111" customWidth="1"/>
    <col min="7" max="7" width="24.6328125" style="111" customWidth="1"/>
    <col min="8" max="8" width="28.54296875" style="112" customWidth="1"/>
    <col min="9" max="9" width="104.54296875" style="111" customWidth="1"/>
    <col min="10" max="10" width="16.7265625" style="113" customWidth="1"/>
    <col min="11" max="16384" width="11.36328125" style="113"/>
  </cols>
  <sheetData>
    <row r="3" spans="2:16" ht="14.25" customHeight="1" x14ac:dyDescent="0.3">
      <c r="B3" s="268" t="s">
        <v>24</v>
      </c>
      <c r="C3" s="268"/>
      <c r="D3" s="6"/>
      <c r="E3" s="6"/>
      <c r="F3" s="6"/>
      <c r="G3" s="6"/>
      <c r="H3" s="6"/>
      <c r="I3" s="6"/>
      <c r="J3" s="6"/>
      <c r="K3" s="6"/>
      <c r="L3" s="6"/>
      <c r="M3" s="6"/>
      <c r="N3" s="6"/>
      <c r="O3" s="6"/>
      <c r="P3" s="6"/>
    </row>
    <row r="4" spans="2:16" ht="34.5" customHeight="1" x14ac:dyDescent="0.3">
      <c r="B4" s="252" t="str">
        <f>Cover!B7</f>
        <v>Community Services Statistics</v>
      </c>
      <c r="C4" s="252"/>
      <c r="D4" s="252"/>
      <c r="E4" s="252"/>
      <c r="F4" s="252"/>
      <c r="G4" s="252"/>
      <c r="H4" s="252"/>
      <c r="I4" s="252"/>
      <c r="J4" s="252"/>
      <c r="K4" s="252"/>
      <c r="L4" s="252"/>
      <c r="M4" s="252"/>
      <c r="N4" s="252"/>
      <c r="O4" s="252"/>
      <c r="P4" s="252"/>
    </row>
    <row r="5" spans="2:16" ht="26.25" customHeight="1" x14ac:dyDescent="0.3">
      <c r="B5" s="253" t="str">
        <f>Cover!B14</f>
        <v>Monthly Core Data Measures</v>
      </c>
      <c r="C5" s="253"/>
      <c r="D5" s="253"/>
      <c r="E5" s="253"/>
      <c r="F5" s="253"/>
      <c r="G5" s="253"/>
      <c r="H5" s="253"/>
      <c r="I5" s="253"/>
      <c r="J5" s="253"/>
      <c r="K5" s="253"/>
      <c r="L5" s="253"/>
      <c r="M5" s="253"/>
      <c r="N5" s="253"/>
      <c r="O5" s="253"/>
      <c r="P5" s="253"/>
    </row>
    <row r="9" spans="2:16" s="116" customFormat="1" ht="82.5" customHeight="1" x14ac:dyDescent="0.35">
      <c r="B9" s="131" t="s">
        <v>371</v>
      </c>
      <c r="C9" s="131" t="s">
        <v>877</v>
      </c>
      <c r="D9" s="115" t="s">
        <v>878</v>
      </c>
      <c r="E9" s="115" t="s">
        <v>756</v>
      </c>
      <c r="F9" s="114" t="s">
        <v>1095</v>
      </c>
      <c r="G9" s="114" t="s">
        <v>372</v>
      </c>
      <c r="H9" s="114" t="s">
        <v>812</v>
      </c>
      <c r="I9" s="115" t="s">
        <v>53</v>
      </c>
      <c r="J9" s="116" t="s">
        <v>373</v>
      </c>
    </row>
    <row r="10" spans="2:16" s="169" customFormat="1" ht="151" customHeight="1" x14ac:dyDescent="0.35">
      <c r="B10" s="181" t="s">
        <v>383</v>
      </c>
      <c r="C10" s="181">
        <v>1</v>
      </c>
      <c r="D10" s="181" t="s">
        <v>384</v>
      </c>
      <c r="E10" s="178" t="s">
        <v>757</v>
      </c>
      <c r="F10" s="179" t="s">
        <v>720</v>
      </c>
      <c r="G10" s="178" t="s">
        <v>111</v>
      </c>
      <c r="H10" s="178" t="s">
        <v>787</v>
      </c>
      <c r="I10" s="184" t="s">
        <v>1178</v>
      </c>
      <c r="J10" s="245" t="s">
        <v>1181</v>
      </c>
    </row>
    <row r="11" spans="2:16" s="119" customFormat="1" ht="58" x14ac:dyDescent="0.35">
      <c r="B11" s="180" t="s">
        <v>383</v>
      </c>
      <c r="C11" s="183">
        <v>2</v>
      </c>
      <c r="D11" s="225" t="s">
        <v>721</v>
      </c>
      <c r="E11" s="232" t="s">
        <v>758</v>
      </c>
      <c r="F11" s="117" t="s">
        <v>385</v>
      </c>
      <c r="G11" s="117" t="s">
        <v>111</v>
      </c>
      <c r="H11" s="118" t="s">
        <v>788</v>
      </c>
      <c r="I11" s="185" t="s">
        <v>986</v>
      </c>
    </row>
    <row r="12" spans="2:16" s="119" customFormat="1" ht="58" x14ac:dyDescent="0.35">
      <c r="B12" s="180" t="s">
        <v>383</v>
      </c>
      <c r="C12" s="183">
        <v>3</v>
      </c>
      <c r="D12" s="225" t="s">
        <v>722</v>
      </c>
      <c r="E12" s="232" t="s">
        <v>759</v>
      </c>
      <c r="F12" s="117" t="s">
        <v>386</v>
      </c>
      <c r="G12" s="117" t="s">
        <v>111</v>
      </c>
      <c r="H12" s="118" t="s">
        <v>788</v>
      </c>
      <c r="I12" s="185" t="s">
        <v>987</v>
      </c>
    </row>
    <row r="13" spans="2:16" s="119" customFormat="1" ht="58" x14ac:dyDescent="0.35">
      <c r="B13" s="180" t="s">
        <v>383</v>
      </c>
      <c r="C13" s="183">
        <v>4</v>
      </c>
      <c r="D13" s="225" t="s">
        <v>723</v>
      </c>
      <c r="E13" s="232" t="s">
        <v>760</v>
      </c>
      <c r="F13" s="117" t="s">
        <v>387</v>
      </c>
      <c r="G13" s="117" t="s">
        <v>111</v>
      </c>
      <c r="H13" s="118" t="s">
        <v>788</v>
      </c>
      <c r="I13" s="185" t="s">
        <v>988</v>
      </c>
    </row>
    <row r="14" spans="2:16" ht="199.25" hidden="1" customHeight="1" x14ac:dyDescent="0.3">
      <c r="B14" s="181" t="s">
        <v>383</v>
      </c>
      <c r="C14" s="181">
        <v>5</v>
      </c>
      <c r="D14" s="226" t="s">
        <v>833</v>
      </c>
      <c r="E14" s="179" t="s">
        <v>761</v>
      </c>
      <c r="F14" s="132" t="s">
        <v>802</v>
      </c>
      <c r="G14" s="134" t="s">
        <v>111</v>
      </c>
      <c r="H14" s="132" t="s">
        <v>787</v>
      </c>
      <c r="I14" s="223" t="s">
        <v>984</v>
      </c>
    </row>
    <row r="15" spans="2:16" ht="58" hidden="1" x14ac:dyDescent="0.3">
      <c r="B15" s="180" t="s">
        <v>383</v>
      </c>
      <c r="C15" s="183">
        <v>6</v>
      </c>
      <c r="D15" s="225" t="s">
        <v>834</v>
      </c>
      <c r="E15" s="232" t="s">
        <v>762</v>
      </c>
      <c r="F15" s="118" t="s">
        <v>740</v>
      </c>
      <c r="G15" s="117" t="s">
        <v>111</v>
      </c>
      <c r="H15" s="118" t="s">
        <v>788</v>
      </c>
      <c r="I15" s="185" t="s">
        <v>989</v>
      </c>
    </row>
    <row r="16" spans="2:16" ht="58" hidden="1" x14ac:dyDescent="0.3">
      <c r="B16" s="180" t="s">
        <v>383</v>
      </c>
      <c r="C16" s="183">
        <v>7</v>
      </c>
      <c r="D16" s="225" t="s">
        <v>835</v>
      </c>
      <c r="E16" s="232" t="s">
        <v>763</v>
      </c>
      <c r="F16" s="118" t="s">
        <v>741</v>
      </c>
      <c r="G16" s="117" t="s">
        <v>111</v>
      </c>
      <c r="H16" s="118" t="s">
        <v>788</v>
      </c>
      <c r="I16" s="185" t="s">
        <v>990</v>
      </c>
    </row>
    <row r="17" spans="2:9" ht="58" hidden="1" x14ac:dyDescent="0.3">
      <c r="B17" s="180" t="s">
        <v>383</v>
      </c>
      <c r="C17" s="183">
        <v>8</v>
      </c>
      <c r="D17" s="225" t="s">
        <v>836</v>
      </c>
      <c r="E17" s="232" t="s">
        <v>764</v>
      </c>
      <c r="F17" s="118" t="s">
        <v>742</v>
      </c>
      <c r="G17" s="117" t="s">
        <v>111</v>
      </c>
      <c r="H17" s="118" t="s">
        <v>788</v>
      </c>
      <c r="I17" s="185" t="s">
        <v>991</v>
      </c>
    </row>
    <row r="18" spans="2:9" ht="277.75" hidden="1" customHeight="1" x14ac:dyDescent="0.3">
      <c r="B18" s="181" t="s">
        <v>383</v>
      </c>
      <c r="C18" s="182">
        <v>17</v>
      </c>
      <c r="D18" s="227" t="s">
        <v>869</v>
      </c>
      <c r="E18" s="132" t="s">
        <v>765</v>
      </c>
      <c r="F18" s="133" t="s">
        <v>743</v>
      </c>
      <c r="G18" s="134" t="s">
        <v>111</v>
      </c>
      <c r="H18" s="132" t="s">
        <v>787</v>
      </c>
      <c r="I18" s="224" t="s">
        <v>992</v>
      </c>
    </row>
    <row r="19" spans="2:9" ht="58" hidden="1" x14ac:dyDescent="0.3">
      <c r="B19" s="180" t="s">
        <v>383</v>
      </c>
      <c r="C19" s="183">
        <v>18</v>
      </c>
      <c r="D19" s="225" t="s">
        <v>870</v>
      </c>
      <c r="E19" s="232" t="s">
        <v>766</v>
      </c>
      <c r="F19" s="118" t="s">
        <v>744</v>
      </c>
      <c r="G19" s="117" t="s">
        <v>111</v>
      </c>
      <c r="H19" s="118" t="s">
        <v>788</v>
      </c>
      <c r="I19" s="185" t="s">
        <v>993</v>
      </c>
    </row>
    <row r="20" spans="2:9" ht="58" hidden="1" x14ac:dyDescent="0.3">
      <c r="B20" s="180" t="s">
        <v>383</v>
      </c>
      <c r="C20" s="183">
        <v>19</v>
      </c>
      <c r="D20" s="225" t="s">
        <v>871</v>
      </c>
      <c r="E20" s="232" t="s">
        <v>767</v>
      </c>
      <c r="F20" s="118" t="s">
        <v>745</v>
      </c>
      <c r="G20" s="117" t="s">
        <v>111</v>
      </c>
      <c r="H20" s="118" t="s">
        <v>788</v>
      </c>
      <c r="I20" s="185" t="s">
        <v>994</v>
      </c>
    </row>
    <row r="21" spans="2:9" ht="58" hidden="1" x14ac:dyDescent="0.3">
      <c r="B21" s="180" t="s">
        <v>383</v>
      </c>
      <c r="C21" s="183">
        <v>20</v>
      </c>
      <c r="D21" s="225" t="s">
        <v>872</v>
      </c>
      <c r="E21" s="232" t="s">
        <v>768</v>
      </c>
      <c r="F21" s="118" t="s">
        <v>746</v>
      </c>
      <c r="G21" s="117" t="s">
        <v>111</v>
      </c>
      <c r="H21" s="118" t="s">
        <v>788</v>
      </c>
      <c r="I21" s="185" t="s">
        <v>995</v>
      </c>
    </row>
    <row r="22" spans="2:9" ht="87" hidden="1" x14ac:dyDescent="0.3">
      <c r="B22" s="181" t="s">
        <v>383</v>
      </c>
      <c r="C22" s="182">
        <v>21</v>
      </c>
      <c r="D22" s="227" t="s">
        <v>388</v>
      </c>
      <c r="E22" s="233" t="s">
        <v>769</v>
      </c>
      <c r="F22" s="134" t="s">
        <v>747</v>
      </c>
      <c r="G22" s="134" t="s">
        <v>389</v>
      </c>
      <c r="H22" s="132" t="s">
        <v>787</v>
      </c>
      <c r="I22" s="186" t="s">
        <v>996</v>
      </c>
    </row>
    <row r="23" spans="2:9" ht="58" hidden="1" x14ac:dyDescent="0.3">
      <c r="B23" s="180" t="s">
        <v>383</v>
      </c>
      <c r="C23" s="183">
        <v>22</v>
      </c>
      <c r="D23" s="225" t="s">
        <v>724</v>
      </c>
      <c r="E23" s="117" t="s">
        <v>770</v>
      </c>
      <c r="F23" s="117" t="s">
        <v>755</v>
      </c>
      <c r="G23" s="117" t="s">
        <v>389</v>
      </c>
      <c r="H23" s="118" t="s">
        <v>788</v>
      </c>
      <c r="I23" s="185" t="s">
        <v>997</v>
      </c>
    </row>
    <row r="24" spans="2:9" ht="58" hidden="1" x14ac:dyDescent="0.3">
      <c r="B24" s="180" t="s">
        <v>383</v>
      </c>
      <c r="C24" s="183">
        <v>23</v>
      </c>
      <c r="D24" s="225" t="s">
        <v>725</v>
      </c>
      <c r="E24" s="117" t="s">
        <v>771</v>
      </c>
      <c r="F24" s="117" t="s">
        <v>736</v>
      </c>
      <c r="G24" s="117" t="s">
        <v>389</v>
      </c>
      <c r="H24" s="118" t="s">
        <v>788</v>
      </c>
      <c r="I24" s="185" t="s">
        <v>998</v>
      </c>
    </row>
    <row r="25" spans="2:9" ht="58" hidden="1" x14ac:dyDescent="0.3">
      <c r="B25" s="180" t="s">
        <v>383</v>
      </c>
      <c r="C25" s="183">
        <v>24</v>
      </c>
      <c r="D25" s="225" t="s">
        <v>726</v>
      </c>
      <c r="E25" s="117" t="s">
        <v>772</v>
      </c>
      <c r="F25" s="117" t="s">
        <v>737</v>
      </c>
      <c r="G25" s="117" t="s">
        <v>389</v>
      </c>
      <c r="H25" s="118" t="s">
        <v>788</v>
      </c>
      <c r="I25" s="185" t="s">
        <v>999</v>
      </c>
    </row>
    <row r="26" spans="2:9" ht="145" hidden="1" x14ac:dyDescent="0.3">
      <c r="B26" s="181" t="s">
        <v>383</v>
      </c>
      <c r="C26" s="182">
        <v>25</v>
      </c>
      <c r="D26" s="227" t="s">
        <v>837</v>
      </c>
      <c r="E26" s="132" t="s">
        <v>1133</v>
      </c>
      <c r="F26" s="133" t="s">
        <v>1077</v>
      </c>
      <c r="G26" s="135" t="s">
        <v>389</v>
      </c>
      <c r="H26" s="132" t="s">
        <v>787</v>
      </c>
      <c r="I26" s="187" t="s">
        <v>1003</v>
      </c>
    </row>
    <row r="27" spans="2:9" ht="58" hidden="1" x14ac:dyDescent="0.3">
      <c r="B27" s="180" t="s">
        <v>383</v>
      </c>
      <c r="C27" s="183">
        <v>26</v>
      </c>
      <c r="D27" s="225" t="s">
        <v>838</v>
      </c>
      <c r="E27" s="232" t="s">
        <v>1136</v>
      </c>
      <c r="F27" s="118" t="s">
        <v>738</v>
      </c>
      <c r="G27" s="117" t="s">
        <v>389</v>
      </c>
      <c r="H27" s="118" t="s">
        <v>788</v>
      </c>
      <c r="I27" s="185" t="s">
        <v>989</v>
      </c>
    </row>
    <row r="28" spans="2:9" ht="58" hidden="1" x14ac:dyDescent="0.3">
      <c r="B28" s="180" t="s">
        <v>383</v>
      </c>
      <c r="C28" s="183">
        <v>27</v>
      </c>
      <c r="D28" s="225" t="s">
        <v>839</v>
      </c>
      <c r="E28" s="232" t="s">
        <v>1135</v>
      </c>
      <c r="F28" s="118" t="s">
        <v>748</v>
      </c>
      <c r="G28" s="117" t="s">
        <v>389</v>
      </c>
      <c r="H28" s="118" t="s">
        <v>788</v>
      </c>
      <c r="I28" s="185" t="s">
        <v>990</v>
      </c>
    </row>
    <row r="29" spans="2:9" ht="58" hidden="1" x14ac:dyDescent="0.3">
      <c r="B29" s="180" t="s">
        <v>383</v>
      </c>
      <c r="C29" s="183">
        <v>28</v>
      </c>
      <c r="D29" s="225" t="s">
        <v>840</v>
      </c>
      <c r="E29" s="232" t="s">
        <v>1134</v>
      </c>
      <c r="F29" s="118" t="s">
        <v>739</v>
      </c>
      <c r="G29" s="117" t="s">
        <v>389</v>
      </c>
      <c r="H29" s="118" t="s">
        <v>788</v>
      </c>
      <c r="I29" s="185" t="s">
        <v>991</v>
      </c>
    </row>
    <row r="30" spans="2:9" s="120" customFormat="1" ht="102.65" hidden="1" customHeight="1" x14ac:dyDescent="0.3">
      <c r="B30" s="181" t="s">
        <v>383</v>
      </c>
      <c r="C30" s="182">
        <v>29</v>
      </c>
      <c r="D30" s="227" t="s">
        <v>853</v>
      </c>
      <c r="E30" s="132" t="s">
        <v>806</v>
      </c>
      <c r="F30" s="134" t="s">
        <v>1142</v>
      </c>
      <c r="G30" s="132" t="s">
        <v>389</v>
      </c>
      <c r="H30" s="132" t="s">
        <v>787</v>
      </c>
      <c r="I30" s="223" t="s">
        <v>951</v>
      </c>
    </row>
    <row r="31" spans="2:9" s="119" customFormat="1" ht="58" hidden="1" x14ac:dyDescent="0.35">
      <c r="B31" s="180" t="s">
        <v>383</v>
      </c>
      <c r="C31" s="183">
        <v>30</v>
      </c>
      <c r="D31" s="183" t="s">
        <v>854</v>
      </c>
      <c r="E31" s="232" t="s">
        <v>803</v>
      </c>
      <c r="F31" s="176" t="s">
        <v>1139</v>
      </c>
      <c r="G31" s="232" t="s">
        <v>389</v>
      </c>
      <c r="H31" s="118" t="s">
        <v>788</v>
      </c>
      <c r="I31" s="185" t="s">
        <v>1000</v>
      </c>
    </row>
    <row r="32" spans="2:9" s="119" customFormat="1" ht="58" hidden="1" x14ac:dyDescent="0.35">
      <c r="B32" s="180" t="s">
        <v>383</v>
      </c>
      <c r="C32" s="183">
        <v>31</v>
      </c>
      <c r="D32" s="183" t="s">
        <v>855</v>
      </c>
      <c r="E32" s="232" t="s">
        <v>804</v>
      </c>
      <c r="F32" s="176" t="s">
        <v>1140</v>
      </c>
      <c r="G32" s="232" t="s">
        <v>389</v>
      </c>
      <c r="H32" s="118" t="s">
        <v>788</v>
      </c>
      <c r="I32" s="185" t="s">
        <v>1001</v>
      </c>
    </row>
    <row r="33" spans="2:9" s="119" customFormat="1" ht="58" hidden="1" x14ac:dyDescent="0.35">
      <c r="B33" s="180" t="s">
        <v>383</v>
      </c>
      <c r="C33" s="183">
        <v>32</v>
      </c>
      <c r="D33" s="183" t="s">
        <v>856</v>
      </c>
      <c r="E33" s="232" t="s">
        <v>805</v>
      </c>
      <c r="F33" s="176" t="s">
        <v>1141</v>
      </c>
      <c r="G33" s="232" t="s">
        <v>389</v>
      </c>
      <c r="H33" s="118" t="s">
        <v>788</v>
      </c>
      <c r="I33" s="185" t="s">
        <v>1002</v>
      </c>
    </row>
    <row r="34" spans="2:9" ht="101.5" hidden="1" x14ac:dyDescent="0.3">
      <c r="B34" s="181" t="s">
        <v>383</v>
      </c>
      <c r="C34" s="182">
        <v>33</v>
      </c>
      <c r="D34" s="227" t="s">
        <v>817</v>
      </c>
      <c r="E34" s="132" t="s">
        <v>797</v>
      </c>
      <c r="F34" s="134" t="s">
        <v>1143</v>
      </c>
      <c r="G34" s="134" t="s">
        <v>391</v>
      </c>
      <c r="H34" s="132" t="s">
        <v>787</v>
      </c>
      <c r="I34" s="188" t="s">
        <v>1004</v>
      </c>
    </row>
    <row r="35" spans="2:9" ht="58" hidden="1" x14ac:dyDescent="0.3">
      <c r="B35" s="180" t="s">
        <v>383</v>
      </c>
      <c r="C35" s="183">
        <v>34</v>
      </c>
      <c r="D35" s="183" t="s">
        <v>818</v>
      </c>
      <c r="E35" s="232" t="s">
        <v>773</v>
      </c>
      <c r="F35" s="117" t="s">
        <v>1144</v>
      </c>
      <c r="G35" s="117" t="s">
        <v>391</v>
      </c>
      <c r="H35" s="118" t="s">
        <v>788</v>
      </c>
      <c r="I35" s="185" t="s">
        <v>1005</v>
      </c>
    </row>
    <row r="36" spans="2:9" ht="58" hidden="1" x14ac:dyDescent="0.3">
      <c r="B36" s="180" t="s">
        <v>383</v>
      </c>
      <c r="C36" s="183">
        <v>35</v>
      </c>
      <c r="D36" s="183" t="s">
        <v>819</v>
      </c>
      <c r="E36" s="232" t="s">
        <v>774</v>
      </c>
      <c r="F36" s="117" t="s">
        <v>1145</v>
      </c>
      <c r="G36" s="117" t="s">
        <v>391</v>
      </c>
      <c r="H36" s="118" t="s">
        <v>788</v>
      </c>
      <c r="I36" s="185" t="s">
        <v>1006</v>
      </c>
    </row>
    <row r="37" spans="2:9" ht="58" hidden="1" x14ac:dyDescent="0.3">
      <c r="B37" s="180" t="s">
        <v>383</v>
      </c>
      <c r="C37" s="183">
        <v>36</v>
      </c>
      <c r="D37" s="183" t="s">
        <v>820</v>
      </c>
      <c r="E37" s="232" t="s">
        <v>775</v>
      </c>
      <c r="F37" s="117" t="s">
        <v>1145</v>
      </c>
      <c r="G37" s="117" t="s">
        <v>391</v>
      </c>
      <c r="H37" s="118" t="s">
        <v>788</v>
      </c>
      <c r="I37" s="185" t="s">
        <v>1007</v>
      </c>
    </row>
    <row r="38" spans="2:9" s="120" customFormat="1" ht="188.5" hidden="1" x14ac:dyDescent="0.3">
      <c r="B38" s="181" t="s">
        <v>383</v>
      </c>
      <c r="C38" s="182">
        <v>37</v>
      </c>
      <c r="D38" s="227" t="s">
        <v>821</v>
      </c>
      <c r="E38" s="134" t="s">
        <v>795</v>
      </c>
      <c r="F38" s="134" t="s">
        <v>1078</v>
      </c>
      <c r="G38" s="132" t="s">
        <v>389</v>
      </c>
      <c r="H38" s="132" t="s">
        <v>787</v>
      </c>
      <c r="I38" s="188" t="s">
        <v>978</v>
      </c>
    </row>
    <row r="39" spans="2:9" s="119" customFormat="1" ht="58" hidden="1" x14ac:dyDescent="0.35">
      <c r="B39" s="180" t="s">
        <v>383</v>
      </c>
      <c r="C39" s="183">
        <v>38</v>
      </c>
      <c r="D39" s="225" t="s">
        <v>822</v>
      </c>
      <c r="E39" s="232" t="s">
        <v>796</v>
      </c>
      <c r="F39" s="118" t="s">
        <v>1079</v>
      </c>
      <c r="G39" s="232" t="s">
        <v>389</v>
      </c>
      <c r="H39" s="118" t="s">
        <v>788</v>
      </c>
      <c r="I39" s="185" t="s">
        <v>1008</v>
      </c>
    </row>
    <row r="40" spans="2:9" s="119" customFormat="1" ht="72.5" hidden="1" x14ac:dyDescent="0.35">
      <c r="B40" s="180" t="s">
        <v>383</v>
      </c>
      <c r="C40" s="183">
        <v>39</v>
      </c>
      <c r="D40" s="225" t="s">
        <v>823</v>
      </c>
      <c r="E40" s="232" t="s">
        <v>1052</v>
      </c>
      <c r="F40" s="118" t="s">
        <v>810</v>
      </c>
      <c r="G40" s="232" t="s">
        <v>389</v>
      </c>
      <c r="H40" s="118" t="s">
        <v>788</v>
      </c>
      <c r="I40" s="185" t="s">
        <v>1009</v>
      </c>
    </row>
    <row r="41" spans="2:9" s="119" customFormat="1" ht="72.5" hidden="1" x14ac:dyDescent="0.35">
      <c r="B41" s="180" t="s">
        <v>383</v>
      </c>
      <c r="C41" s="183">
        <v>40</v>
      </c>
      <c r="D41" s="225" t="s">
        <v>824</v>
      </c>
      <c r="E41" s="232" t="s">
        <v>1051</v>
      </c>
      <c r="F41" s="118" t="s">
        <v>811</v>
      </c>
      <c r="G41" s="232" t="s">
        <v>389</v>
      </c>
      <c r="H41" s="118" t="s">
        <v>788</v>
      </c>
      <c r="I41" s="185" t="s">
        <v>1010</v>
      </c>
    </row>
    <row r="42" spans="2:9" ht="72.5" hidden="1" x14ac:dyDescent="0.3">
      <c r="B42" s="181" t="s">
        <v>383</v>
      </c>
      <c r="C42" s="182">
        <v>41</v>
      </c>
      <c r="D42" s="228" t="s">
        <v>390</v>
      </c>
      <c r="E42" s="132" t="s">
        <v>798</v>
      </c>
      <c r="F42" s="134" t="s">
        <v>1080</v>
      </c>
      <c r="G42" s="134" t="s">
        <v>393</v>
      </c>
      <c r="H42" s="132" t="s">
        <v>789</v>
      </c>
      <c r="I42" s="187" t="s">
        <v>1011</v>
      </c>
    </row>
    <row r="43" spans="2:9" ht="58" hidden="1" x14ac:dyDescent="0.3">
      <c r="B43" s="180" t="s">
        <v>383</v>
      </c>
      <c r="C43" s="183">
        <v>42</v>
      </c>
      <c r="D43" s="225" t="s">
        <v>727</v>
      </c>
      <c r="E43" s="232" t="s">
        <v>1050</v>
      </c>
      <c r="F43" s="117" t="s">
        <v>394</v>
      </c>
      <c r="G43" s="117" t="s">
        <v>393</v>
      </c>
      <c r="H43" s="118" t="s">
        <v>789</v>
      </c>
      <c r="I43" s="185" t="s">
        <v>1012</v>
      </c>
    </row>
    <row r="44" spans="2:9" ht="58" hidden="1" x14ac:dyDescent="0.3">
      <c r="B44" s="180" t="s">
        <v>383</v>
      </c>
      <c r="C44" s="183">
        <v>43</v>
      </c>
      <c r="D44" s="225" t="s">
        <v>728</v>
      </c>
      <c r="E44" s="232" t="s">
        <v>776</v>
      </c>
      <c r="F44" s="117" t="s">
        <v>1081</v>
      </c>
      <c r="G44" s="117" t="s">
        <v>393</v>
      </c>
      <c r="H44" s="118" t="s">
        <v>789</v>
      </c>
      <c r="I44" s="185" t="s">
        <v>1013</v>
      </c>
    </row>
    <row r="45" spans="2:9" ht="58" hidden="1" x14ac:dyDescent="0.3">
      <c r="B45" s="180" t="s">
        <v>383</v>
      </c>
      <c r="C45" s="183">
        <v>44</v>
      </c>
      <c r="D45" s="225" t="s">
        <v>729</v>
      </c>
      <c r="E45" s="232" t="s">
        <v>1049</v>
      </c>
      <c r="F45" s="117" t="s">
        <v>395</v>
      </c>
      <c r="G45" s="117" t="s">
        <v>393</v>
      </c>
      <c r="H45" s="118" t="s">
        <v>789</v>
      </c>
      <c r="I45" s="185" t="s">
        <v>1014</v>
      </c>
    </row>
    <row r="46" spans="2:9" ht="178.25" hidden="1" customHeight="1" x14ac:dyDescent="0.3">
      <c r="B46" s="181" t="s">
        <v>383</v>
      </c>
      <c r="C46" s="182">
        <v>45</v>
      </c>
      <c r="D46" s="227" t="s">
        <v>828</v>
      </c>
      <c r="E46" s="132" t="s">
        <v>777</v>
      </c>
      <c r="F46" s="134" t="s">
        <v>1082</v>
      </c>
      <c r="G46" s="134" t="s">
        <v>393</v>
      </c>
      <c r="H46" s="132" t="s">
        <v>789</v>
      </c>
      <c r="I46" s="189" t="s">
        <v>1015</v>
      </c>
    </row>
    <row r="47" spans="2:9" ht="58" hidden="1" x14ac:dyDescent="0.3">
      <c r="B47" s="180" t="s">
        <v>383</v>
      </c>
      <c r="C47" s="183">
        <v>46</v>
      </c>
      <c r="D47" s="183" t="s">
        <v>825</v>
      </c>
      <c r="E47" s="232" t="s">
        <v>1048</v>
      </c>
      <c r="F47" s="117" t="s">
        <v>1083</v>
      </c>
      <c r="G47" s="117" t="s">
        <v>393</v>
      </c>
      <c r="H47" s="118" t="s">
        <v>789</v>
      </c>
      <c r="I47" s="185" t="s">
        <v>1016</v>
      </c>
    </row>
    <row r="48" spans="2:9" ht="58" hidden="1" x14ac:dyDescent="0.3">
      <c r="B48" s="180" t="s">
        <v>383</v>
      </c>
      <c r="C48" s="183">
        <v>47</v>
      </c>
      <c r="D48" s="183" t="s">
        <v>826</v>
      </c>
      <c r="E48" s="232" t="s">
        <v>1047</v>
      </c>
      <c r="F48" s="117" t="s">
        <v>1084</v>
      </c>
      <c r="G48" s="117" t="s">
        <v>393</v>
      </c>
      <c r="H48" s="118" t="s">
        <v>789</v>
      </c>
      <c r="I48" s="185" t="s">
        <v>1017</v>
      </c>
    </row>
    <row r="49" spans="2:9" ht="58" hidden="1" x14ac:dyDescent="0.3">
      <c r="B49" s="180" t="s">
        <v>383</v>
      </c>
      <c r="C49" s="183">
        <v>48</v>
      </c>
      <c r="D49" s="183" t="s">
        <v>827</v>
      </c>
      <c r="E49" s="232" t="s">
        <v>1046</v>
      </c>
      <c r="F49" s="117" t="s">
        <v>1085</v>
      </c>
      <c r="G49" s="117" t="s">
        <v>393</v>
      </c>
      <c r="H49" s="118" t="s">
        <v>789</v>
      </c>
      <c r="I49" s="185" t="s">
        <v>1018</v>
      </c>
    </row>
    <row r="50" spans="2:9" s="120" customFormat="1" ht="372.9" hidden="1" customHeight="1" x14ac:dyDescent="0.3">
      <c r="B50" s="181" t="s">
        <v>383</v>
      </c>
      <c r="C50" s="182">
        <v>49</v>
      </c>
      <c r="D50" s="228" t="s">
        <v>873</v>
      </c>
      <c r="E50" s="132" t="s">
        <v>1132</v>
      </c>
      <c r="F50" s="134" t="s">
        <v>1071</v>
      </c>
      <c r="G50" s="132" t="s">
        <v>393</v>
      </c>
      <c r="H50" s="132" t="s">
        <v>789</v>
      </c>
      <c r="I50" s="187" t="s">
        <v>1059</v>
      </c>
    </row>
    <row r="51" spans="2:9" s="119" customFormat="1" ht="58" hidden="1" x14ac:dyDescent="0.35">
      <c r="B51" s="180" t="s">
        <v>383</v>
      </c>
      <c r="C51" s="183">
        <v>50</v>
      </c>
      <c r="D51" s="229" t="s">
        <v>874</v>
      </c>
      <c r="E51" s="232" t="s">
        <v>1043</v>
      </c>
      <c r="F51" s="177" t="s">
        <v>1072</v>
      </c>
      <c r="G51" s="118" t="s">
        <v>393</v>
      </c>
      <c r="H51" s="118" t="s">
        <v>789</v>
      </c>
      <c r="I51" s="185" t="s">
        <v>1000</v>
      </c>
    </row>
    <row r="52" spans="2:9" s="119" customFormat="1" ht="58" hidden="1" x14ac:dyDescent="0.35">
      <c r="B52" s="180" t="s">
        <v>383</v>
      </c>
      <c r="C52" s="183">
        <v>51</v>
      </c>
      <c r="D52" s="229" t="s">
        <v>876</v>
      </c>
      <c r="E52" s="232" t="s">
        <v>1044</v>
      </c>
      <c r="F52" s="177" t="s">
        <v>1073</v>
      </c>
      <c r="G52" s="118" t="s">
        <v>393</v>
      </c>
      <c r="H52" s="118" t="s">
        <v>789</v>
      </c>
      <c r="I52" s="185" t="s">
        <v>1001</v>
      </c>
    </row>
    <row r="53" spans="2:9" s="119" customFormat="1" ht="58" hidden="1" x14ac:dyDescent="0.35">
      <c r="B53" s="180" t="s">
        <v>383</v>
      </c>
      <c r="C53" s="183">
        <v>52</v>
      </c>
      <c r="D53" s="229" t="s">
        <v>875</v>
      </c>
      <c r="E53" s="232" t="s">
        <v>1045</v>
      </c>
      <c r="F53" s="177" t="s">
        <v>1074</v>
      </c>
      <c r="G53" s="118" t="s">
        <v>393</v>
      </c>
      <c r="H53" s="118" t="s">
        <v>789</v>
      </c>
      <c r="I53" s="185" t="s">
        <v>1002</v>
      </c>
    </row>
    <row r="54" spans="2:9" ht="178.75" hidden="1" customHeight="1" x14ac:dyDescent="0.3">
      <c r="B54" s="181" t="s">
        <v>383</v>
      </c>
      <c r="C54" s="182">
        <v>53</v>
      </c>
      <c r="D54" s="228" t="s">
        <v>829</v>
      </c>
      <c r="E54" s="132" t="s">
        <v>1131</v>
      </c>
      <c r="F54" s="134" t="s">
        <v>1053</v>
      </c>
      <c r="G54" s="132" t="s">
        <v>393</v>
      </c>
      <c r="H54" s="132" t="s">
        <v>789</v>
      </c>
      <c r="I54" s="190" t="s">
        <v>1019</v>
      </c>
    </row>
    <row r="55" spans="2:9" ht="58" hidden="1" x14ac:dyDescent="0.3">
      <c r="B55" s="180" t="s">
        <v>383</v>
      </c>
      <c r="C55" s="183">
        <v>54</v>
      </c>
      <c r="D55" s="229" t="s">
        <v>830</v>
      </c>
      <c r="E55" s="232" t="s">
        <v>1042</v>
      </c>
      <c r="F55" s="117" t="s">
        <v>1137</v>
      </c>
      <c r="G55" s="118" t="s">
        <v>393</v>
      </c>
      <c r="H55" s="118" t="s">
        <v>789</v>
      </c>
      <c r="I55" s="185" t="s">
        <v>1020</v>
      </c>
    </row>
    <row r="56" spans="2:9" ht="58" hidden="1" x14ac:dyDescent="0.3">
      <c r="B56" s="180" t="s">
        <v>383</v>
      </c>
      <c r="C56" s="183">
        <v>55</v>
      </c>
      <c r="D56" s="229" t="s">
        <v>831</v>
      </c>
      <c r="E56" s="232" t="s">
        <v>1041</v>
      </c>
      <c r="F56" s="117" t="s">
        <v>1075</v>
      </c>
      <c r="G56" s="118" t="s">
        <v>393</v>
      </c>
      <c r="H56" s="118" t="s">
        <v>789</v>
      </c>
      <c r="I56" s="185" t="s">
        <v>1021</v>
      </c>
    </row>
    <row r="57" spans="2:9" ht="58" hidden="1" x14ac:dyDescent="0.3">
      <c r="B57" s="180" t="s">
        <v>383</v>
      </c>
      <c r="C57" s="183">
        <v>56</v>
      </c>
      <c r="D57" s="229" t="s">
        <v>832</v>
      </c>
      <c r="E57" s="232" t="s">
        <v>1040</v>
      </c>
      <c r="F57" s="117" t="s">
        <v>1076</v>
      </c>
      <c r="G57" s="118" t="s">
        <v>393</v>
      </c>
      <c r="H57" s="118" t="s">
        <v>789</v>
      </c>
      <c r="I57" s="185" t="s">
        <v>1022</v>
      </c>
    </row>
    <row r="58" spans="2:9" ht="87" hidden="1" x14ac:dyDescent="0.3">
      <c r="B58" s="181" t="s">
        <v>383</v>
      </c>
      <c r="C58" s="182">
        <v>57</v>
      </c>
      <c r="D58" s="228" t="s">
        <v>392</v>
      </c>
      <c r="E58" s="132" t="s">
        <v>799</v>
      </c>
      <c r="F58" s="134" t="s">
        <v>719</v>
      </c>
      <c r="G58" s="134" t="s">
        <v>397</v>
      </c>
      <c r="H58" s="132" t="s">
        <v>789</v>
      </c>
      <c r="I58" s="187" t="s">
        <v>974</v>
      </c>
    </row>
    <row r="59" spans="2:9" ht="58" hidden="1" x14ac:dyDescent="0.3">
      <c r="B59" s="180" t="s">
        <v>383</v>
      </c>
      <c r="C59" s="183">
        <v>58</v>
      </c>
      <c r="D59" s="225" t="s">
        <v>730</v>
      </c>
      <c r="E59" s="232" t="s">
        <v>1039</v>
      </c>
      <c r="F59" s="117" t="s">
        <v>1086</v>
      </c>
      <c r="G59" s="234" t="s">
        <v>397</v>
      </c>
      <c r="H59" s="118" t="s">
        <v>789</v>
      </c>
      <c r="I59" s="185" t="s">
        <v>1000</v>
      </c>
    </row>
    <row r="60" spans="2:9" ht="58" hidden="1" x14ac:dyDescent="0.3">
      <c r="B60" s="180" t="s">
        <v>383</v>
      </c>
      <c r="C60" s="183">
        <v>59</v>
      </c>
      <c r="D60" s="225" t="s">
        <v>731</v>
      </c>
      <c r="E60" s="232" t="s">
        <v>1038</v>
      </c>
      <c r="F60" s="117" t="s">
        <v>398</v>
      </c>
      <c r="G60" s="234" t="s">
        <v>397</v>
      </c>
      <c r="H60" s="118" t="s">
        <v>789</v>
      </c>
      <c r="I60" s="185" t="s">
        <v>1001</v>
      </c>
    </row>
    <row r="61" spans="2:9" ht="58" hidden="1" x14ac:dyDescent="0.3">
      <c r="B61" s="180" t="s">
        <v>383</v>
      </c>
      <c r="C61" s="183">
        <v>60</v>
      </c>
      <c r="D61" s="225" t="s">
        <v>732</v>
      </c>
      <c r="E61" s="232" t="s">
        <v>1037</v>
      </c>
      <c r="F61" s="117" t="s">
        <v>399</v>
      </c>
      <c r="G61" s="234" t="s">
        <v>397</v>
      </c>
      <c r="H61" s="118" t="s">
        <v>789</v>
      </c>
      <c r="I61" s="185" t="s">
        <v>1002</v>
      </c>
    </row>
    <row r="62" spans="2:9" ht="172.75" hidden="1" customHeight="1" x14ac:dyDescent="0.3">
      <c r="B62" s="181" t="s">
        <v>383</v>
      </c>
      <c r="C62" s="182">
        <v>61</v>
      </c>
      <c r="D62" s="228" t="s">
        <v>857</v>
      </c>
      <c r="E62" s="132" t="s">
        <v>784</v>
      </c>
      <c r="F62" s="134" t="s">
        <v>750</v>
      </c>
      <c r="G62" s="132" t="s">
        <v>397</v>
      </c>
      <c r="H62" s="132" t="s">
        <v>789</v>
      </c>
      <c r="I62" s="190" t="s">
        <v>983</v>
      </c>
    </row>
    <row r="63" spans="2:9" ht="58" hidden="1" x14ac:dyDescent="0.3">
      <c r="B63" s="180" t="s">
        <v>383</v>
      </c>
      <c r="C63" s="183">
        <v>62</v>
      </c>
      <c r="D63" s="225" t="s">
        <v>858</v>
      </c>
      <c r="E63" s="232" t="s">
        <v>1036</v>
      </c>
      <c r="F63" s="117" t="s">
        <v>1087</v>
      </c>
      <c r="G63" s="234" t="s">
        <v>397</v>
      </c>
      <c r="H63" s="118" t="s">
        <v>789</v>
      </c>
      <c r="I63" s="185" t="s">
        <v>1023</v>
      </c>
    </row>
    <row r="64" spans="2:9" ht="58" hidden="1" x14ac:dyDescent="0.3">
      <c r="B64" s="180" t="s">
        <v>383</v>
      </c>
      <c r="C64" s="183">
        <v>63</v>
      </c>
      <c r="D64" s="225" t="s">
        <v>859</v>
      </c>
      <c r="E64" s="232" t="s">
        <v>1035</v>
      </c>
      <c r="F64" s="117" t="s">
        <v>751</v>
      </c>
      <c r="G64" s="234" t="s">
        <v>397</v>
      </c>
      <c r="H64" s="118" t="s">
        <v>789</v>
      </c>
      <c r="I64" s="185" t="s">
        <v>1024</v>
      </c>
    </row>
    <row r="65" spans="2:9" ht="58" hidden="1" x14ac:dyDescent="0.3">
      <c r="B65" s="180" t="s">
        <v>383</v>
      </c>
      <c r="C65" s="183">
        <v>64</v>
      </c>
      <c r="D65" s="225" t="s">
        <v>860</v>
      </c>
      <c r="E65" s="232" t="s">
        <v>1034</v>
      </c>
      <c r="F65" s="117" t="s">
        <v>752</v>
      </c>
      <c r="G65" s="234" t="s">
        <v>397</v>
      </c>
      <c r="H65" s="118" t="s">
        <v>789</v>
      </c>
      <c r="I65" s="185" t="s">
        <v>1025</v>
      </c>
    </row>
    <row r="66" spans="2:9" s="120" customFormat="1" ht="101.5" hidden="1" x14ac:dyDescent="0.3">
      <c r="B66" s="181" t="s">
        <v>383</v>
      </c>
      <c r="C66" s="182">
        <v>65</v>
      </c>
      <c r="D66" s="227" t="s">
        <v>396</v>
      </c>
      <c r="E66" s="132" t="s">
        <v>800</v>
      </c>
      <c r="F66" s="134" t="s">
        <v>1146</v>
      </c>
      <c r="G66" s="134" t="s">
        <v>400</v>
      </c>
      <c r="H66" s="132" t="s">
        <v>789</v>
      </c>
      <c r="I66" s="187" t="s">
        <v>1026</v>
      </c>
    </row>
    <row r="67" spans="2:9" s="119" customFormat="1" ht="58" hidden="1" x14ac:dyDescent="0.35">
      <c r="B67" s="180" t="s">
        <v>383</v>
      </c>
      <c r="C67" s="183">
        <v>66</v>
      </c>
      <c r="D67" s="183" t="s">
        <v>733</v>
      </c>
      <c r="E67" s="232" t="s">
        <v>778</v>
      </c>
      <c r="F67" s="117" t="s">
        <v>1147</v>
      </c>
      <c r="G67" s="234" t="s">
        <v>400</v>
      </c>
      <c r="H67" s="118" t="s">
        <v>789</v>
      </c>
      <c r="I67" s="185" t="s">
        <v>1027</v>
      </c>
    </row>
    <row r="68" spans="2:9" s="119" customFormat="1" ht="58" hidden="1" x14ac:dyDescent="0.35">
      <c r="B68" s="180" t="s">
        <v>383</v>
      </c>
      <c r="C68" s="183">
        <v>67</v>
      </c>
      <c r="D68" s="183" t="s">
        <v>734</v>
      </c>
      <c r="E68" s="232" t="s">
        <v>779</v>
      </c>
      <c r="F68" s="117" t="s">
        <v>1148</v>
      </c>
      <c r="G68" s="234" t="s">
        <v>400</v>
      </c>
      <c r="H68" s="118" t="s">
        <v>789</v>
      </c>
      <c r="I68" s="185" t="s">
        <v>1028</v>
      </c>
    </row>
    <row r="69" spans="2:9" s="119" customFormat="1" ht="58" hidden="1" x14ac:dyDescent="0.35">
      <c r="B69" s="180" t="s">
        <v>383</v>
      </c>
      <c r="C69" s="183">
        <v>68</v>
      </c>
      <c r="D69" s="183" t="s">
        <v>735</v>
      </c>
      <c r="E69" s="232" t="s">
        <v>780</v>
      </c>
      <c r="F69" s="117" t="s">
        <v>1149</v>
      </c>
      <c r="G69" s="234" t="s">
        <v>400</v>
      </c>
      <c r="H69" s="118" t="s">
        <v>789</v>
      </c>
      <c r="I69" s="185" t="s">
        <v>1029</v>
      </c>
    </row>
    <row r="70" spans="2:9" ht="101.5" hidden="1" x14ac:dyDescent="0.3">
      <c r="B70" s="181" t="s">
        <v>383</v>
      </c>
      <c r="C70" s="182">
        <v>69</v>
      </c>
      <c r="D70" s="227" t="s">
        <v>861</v>
      </c>
      <c r="E70" s="132" t="s">
        <v>1126</v>
      </c>
      <c r="F70" s="134" t="s">
        <v>814</v>
      </c>
      <c r="G70" s="132" t="s">
        <v>397</v>
      </c>
      <c r="H70" s="132" t="s">
        <v>789</v>
      </c>
      <c r="I70" s="187" t="s">
        <v>951</v>
      </c>
    </row>
    <row r="71" spans="2:9" ht="58" hidden="1" x14ac:dyDescent="0.3">
      <c r="B71" s="180" t="s">
        <v>383</v>
      </c>
      <c r="C71" s="183">
        <v>70</v>
      </c>
      <c r="D71" s="183" t="s">
        <v>862</v>
      </c>
      <c r="E71" s="232" t="s">
        <v>1127</v>
      </c>
      <c r="F71" s="117" t="s">
        <v>809</v>
      </c>
      <c r="G71" s="235" t="s">
        <v>397</v>
      </c>
      <c r="H71" s="118" t="s">
        <v>789</v>
      </c>
      <c r="I71" s="185" t="s">
        <v>1000</v>
      </c>
    </row>
    <row r="72" spans="2:9" ht="43.5" hidden="1" x14ac:dyDescent="0.3">
      <c r="B72" s="180" t="s">
        <v>383</v>
      </c>
      <c r="C72" s="183">
        <v>71</v>
      </c>
      <c r="D72" s="183" t="s">
        <v>863</v>
      </c>
      <c r="E72" s="232" t="s">
        <v>1128</v>
      </c>
      <c r="F72" s="117" t="s">
        <v>815</v>
      </c>
      <c r="G72" s="235" t="s">
        <v>397</v>
      </c>
      <c r="H72" s="118" t="s">
        <v>789</v>
      </c>
      <c r="I72" s="185" t="s">
        <v>785</v>
      </c>
    </row>
    <row r="73" spans="2:9" ht="58" hidden="1" x14ac:dyDescent="0.3">
      <c r="B73" s="180" t="s">
        <v>383</v>
      </c>
      <c r="C73" s="183">
        <v>72</v>
      </c>
      <c r="D73" s="183" t="s">
        <v>864</v>
      </c>
      <c r="E73" s="232" t="s">
        <v>1129</v>
      </c>
      <c r="F73" s="117" t="s">
        <v>816</v>
      </c>
      <c r="G73" s="235" t="s">
        <v>397</v>
      </c>
      <c r="H73" s="118" t="s">
        <v>789</v>
      </c>
      <c r="I73" s="185" t="s">
        <v>1002</v>
      </c>
    </row>
    <row r="74" spans="2:9" s="120" customFormat="1" ht="217.5" hidden="1" x14ac:dyDescent="0.3">
      <c r="B74" s="181" t="s">
        <v>383</v>
      </c>
      <c r="C74" s="182">
        <v>73</v>
      </c>
      <c r="D74" s="227" t="s">
        <v>845</v>
      </c>
      <c r="E74" s="132" t="s">
        <v>1107</v>
      </c>
      <c r="F74" s="132" t="s">
        <v>1088</v>
      </c>
      <c r="G74" s="132" t="s">
        <v>754</v>
      </c>
      <c r="H74" s="132" t="s">
        <v>790</v>
      </c>
      <c r="I74" s="187" t="s">
        <v>954</v>
      </c>
    </row>
    <row r="75" spans="2:9" s="119" customFormat="1" ht="58" hidden="1" x14ac:dyDescent="0.35">
      <c r="B75" s="180" t="s">
        <v>383</v>
      </c>
      <c r="C75" s="183">
        <v>74</v>
      </c>
      <c r="D75" s="183" t="s">
        <v>846</v>
      </c>
      <c r="E75" s="232" t="s">
        <v>1130</v>
      </c>
      <c r="F75" s="118" t="s">
        <v>1104</v>
      </c>
      <c r="G75" s="235" t="s">
        <v>754</v>
      </c>
      <c r="H75" s="118" t="s">
        <v>790</v>
      </c>
      <c r="I75" s="185" t="s">
        <v>1000</v>
      </c>
    </row>
    <row r="76" spans="2:9" s="119" customFormat="1" ht="58" hidden="1" x14ac:dyDescent="0.35">
      <c r="B76" s="180" t="s">
        <v>383</v>
      </c>
      <c r="C76" s="183">
        <v>75</v>
      </c>
      <c r="D76" s="183" t="s">
        <v>847</v>
      </c>
      <c r="E76" s="232" t="s">
        <v>1108</v>
      </c>
      <c r="F76" s="118" t="s">
        <v>1105</v>
      </c>
      <c r="G76" s="235" t="s">
        <v>754</v>
      </c>
      <c r="H76" s="118" t="s">
        <v>790</v>
      </c>
      <c r="I76" s="185" t="s">
        <v>1001</v>
      </c>
    </row>
    <row r="77" spans="2:9" s="119" customFormat="1" ht="58" hidden="1" x14ac:dyDescent="0.35">
      <c r="B77" s="180" t="s">
        <v>383</v>
      </c>
      <c r="C77" s="183">
        <v>76</v>
      </c>
      <c r="D77" s="183" t="s">
        <v>848</v>
      </c>
      <c r="E77" s="232" t="s">
        <v>1109</v>
      </c>
      <c r="F77" s="118" t="s">
        <v>1106</v>
      </c>
      <c r="G77" s="235" t="s">
        <v>754</v>
      </c>
      <c r="H77" s="118" t="s">
        <v>790</v>
      </c>
      <c r="I77" s="185" t="s">
        <v>1002</v>
      </c>
    </row>
    <row r="78" spans="2:9" ht="121.75" hidden="1" customHeight="1" x14ac:dyDescent="0.3">
      <c r="B78" s="181" t="s">
        <v>383</v>
      </c>
      <c r="C78" s="182">
        <v>77</v>
      </c>
      <c r="D78" s="227" t="s">
        <v>841</v>
      </c>
      <c r="E78" s="132" t="s">
        <v>801</v>
      </c>
      <c r="F78" s="134" t="s">
        <v>718</v>
      </c>
      <c r="G78" s="132" t="s">
        <v>198</v>
      </c>
      <c r="H78" s="132" t="s">
        <v>789</v>
      </c>
      <c r="I78" s="187" t="s">
        <v>1030</v>
      </c>
    </row>
    <row r="79" spans="2:9" ht="72.5" hidden="1" x14ac:dyDescent="0.3">
      <c r="B79" s="180" t="s">
        <v>383</v>
      </c>
      <c r="C79" s="183">
        <v>78</v>
      </c>
      <c r="D79" s="183" t="s">
        <v>842</v>
      </c>
      <c r="E79" s="232" t="s">
        <v>781</v>
      </c>
      <c r="F79" s="117" t="s">
        <v>749</v>
      </c>
      <c r="G79" s="118" t="s">
        <v>198</v>
      </c>
      <c r="H79" s="118" t="s">
        <v>789</v>
      </c>
      <c r="I79" s="185" t="s">
        <v>1031</v>
      </c>
    </row>
    <row r="80" spans="2:9" ht="72.5" hidden="1" x14ac:dyDescent="0.3">
      <c r="B80" s="180" t="s">
        <v>383</v>
      </c>
      <c r="C80" s="183">
        <v>79</v>
      </c>
      <c r="D80" s="183" t="s">
        <v>843</v>
      </c>
      <c r="E80" s="232" t="s">
        <v>782</v>
      </c>
      <c r="F80" s="117" t="s">
        <v>807</v>
      </c>
      <c r="G80" s="118" t="s">
        <v>198</v>
      </c>
      <c r="H80" s="118" t="s">
        <v>789</v>
      </c>
      <c r="I80" s="185" t="s">
        <v>1032</v>
      </c>
    </row>
    <row r="81" spans="2:9" ht="72.5" hidden="1" x14ac:dyDescent="0.3">
      <c r="B81" s="180" t="s">
        <v>383</v>
      </c>
      <c r="C81" s="183">
        <v>80</v>
      </c>
      <c r="D81" s="183" t="s">
        <v>844</v>
      </c>
      <c r="E81" s="232" t="s">
        <v>783</v>
      </c>
      <c r="F81" s="117" t="s">
        <v>808</v>
      </c>
      <c r="G81" s="118" t="s">
        <v>198</v>
      </c>
      <c r="H81" s="118" t="s">
        <v>789</v>
      </c>
      <c r="I81" s="185" t="s">
        <v>1033</v>
      </c>
    </row>
    <row r="82" spans="2:9" ht="274.25" hidden="1" customHeight="1" x14ac:dyDescent="0.3">
      <c r="B82" s="181" t="s">
        <v>383</v>
      </c>
      <c r="C82" s="182">
        <v>81</v>
      </c>
      <c r="D82" s="230" t="s">
        <v>865</v>
      </c>
      <c r="E82" s="132" t="s">
        <v>1110</v>
      </c>
      <c r="F82" s="132" t="s">
        <v>753</v>
      </c>
      <c r="G82" s="132" t="s">
        <v>111</v>
      </c>
      <c r="H82" s="132" t="s">
        <v>787</v>
      </c>
      <c r="I82" s="187" t="s">
        <v>1158</v>
      </c>
    </row>
    <row r="83" spans="2:9" ht="49.25" hidden="1" customHeight="1" x14ac:dyDescent="0.3">
      <c r="B83" s="180" t="s">
        <v>383</v>
      </c>
      <c r="C83" s="183">
        <v>82</v>
      </c>
      <c r="D83" s="231" t="s">
        <v>866</v>
      </c>
      <c r="E83" s="232" t="s">
        <v>1111</v>
      </c>
      <c r="F83" s="118" t="s">
        <v>791</v>
      </c>
      <c r="G83" s="232" t="s">
        <v>111</v>
      </c>
      <c r="H83" s="118" t="s">
        <v>788</v>
      </c>
      <c r="I83" s="185" t="s">
        <v>1174</v>
      </c>
    </row>
    <row r="84" spans="2:9" ht="49.25" hidden="1" customHeight="1" x14ac:dyDescent="0.3">
      <c r="B84" s="180" t="s">
        <v>383</v>
      </c>
      <c r="C84" s="183">
        <v>83</v>
      </c>
      <c r="D84" s="231" t="s">
        <v>867</v>
      </c>
      <c r="E84" s="232" t="s">
        <v>1112</v>
      </c>
      <c r="F84" s="118" t="s">
        <v>792</v>
      </c>
      <c r="G84" s="232" t="s">
        <v>111</v>
      </c>
      <c r="H84" s="118" t="s">
        <v>788</v>
      </c>
      <c r="I84" s="185" t="s">
        <v>785</v>
      </c>
    </row>
    <row r="85" spans="2:9" ht="49.25" hidden="1" customHeight="1" x14ac:dyDescent="0.3">
      <c r="B85" s="180" t="s">
        <v>383</v>
      </c>
      <c r="C85" s="183">
        <v>84</v>
      </c>
      <c r="D85" s="231" t="s">
        <v>868</v>
      </c>
      <c r="E85" s="232" t="s">
        <v>1113</v>
      </c>
      <c r="F85" s="118" t="s">
        <v>793</v>
      </c>
      <c r="G85" s="232" t="s">
        <v>111</v>
      </c>
      <c r="H85" s="118" t="s">
        <v>788</v>
      </c>
      <c r="I85" s="185" t="s">
        <v>1175</v>
      </c>
    </row>
    <row r="86" spans="2:9" s="120" customFormat="1" ht="213.65" hidden="1" customHeight="1" x14ac:dyDescent="0.3">
      <c r="B86" s="181" t="s">
        <v>383</v>
      </c>
      <c r="C86" s="182">
        <v>85</v>
      </c>
      <c r="D86" s="227" t="s">
        <v>849</v>
      </c>
      <c r="E86" s="132" t="s">
        <v>1114</v>
      </c>
      <c r="F86" s="132" t="s">
        <v>1089</v>
      </c>
      <c r="G86" s="236" t="s">
        <v>111</v>
      </c>
      <c r="H86" s="132" t="s">
        <v>787</v>
      </c>
      <c r="I86" s="187" t="s">
        <v>1159</v>
      </c>
    </row>
    <row r="87" spans="2:9" s="119" customFormat="1" ht="48.65" hidden="1" customHeight="1" x14ac:dyDescent="0.35">
      <c r="B87" s="180" t="s">
        <v>383</v>
      </c>
      <c r="C87" s="183">
        <v>86</v>
      </c>
      <c r="D87" s="225" t="s">
        <v>850</v>
      </c>
      <c r="E87" s="232" t="s">
        <v>1115</v>
      </c>
      <c r="F87" s="118" t="s">
        <v>1090</v>
      </c>
      <c r="G87" s="232" t="s">
        <v>111</v>
      </c>
      <c r="H87" s="118" t="s">
        <v>788</v>
      </c>
      <c r="I87" s="185" t="s">
        <v>1174</v>
      </c>
    </row>
    <row r="88" spans="2:9" s="119" customFormat="1" ht="48.65" hidden="1" customHeight="1" x14ac:dyDescent="0.35">
      <c r="B88" s="180" t="s">
        <v>383</v>
      </c>
      <c r="C88" s="183">
        <v>86</v>
      </c>
      <c r="D88" s="225" t="s">
        <v>851</v>
      </c>
      <c r="E88" s="232" t="s">
        <v>1116</v>
      </c>
      <c r="F88" s="118" t="s">
        <v>1091</v>
      </c>
      <c r="G88" s="232" t="s">
        <v>111</v>
      </c>
      <c r="H88" s="118" t="s">
        <v>788</v>
      </c>
      <c r="I88" s="185" t="s">
        <v>785</v>
      </c>
    </row>
    <row r="89" spans="2:9" s="119" customFormat="1" ht="48.65" hidden="1" customHeight="1" x14ac:dyDescent="0.35">
      <c r="B89" s="180" t="s">
        <v>383</v>
      </c>
      <c r="C89" s="183">
        <v>87</v>
      </c>
      <c r="D89" s="225" t="s">
        <v>852</v>
      </c>
      <c r="E89" s="232" t="s">
        <v>1117</v>
      </c>
      <c r="F89" s="118" t="s">
        <v>1092</v>
      </c>
      <c r="G89" s="232" t="s">
        <v>111</v>
      </c>
      <c r="H89" s="118" t="s">
        <v>788</v>
      </c>
      <c r="I89" s="185" t="s">
        <v>1175</v>
      </c>
    </row>
    <row r="90" spans="2:9" s="120" customFormat="1" ht="333.5" hidden="1" x14ac:dyDescent="0.3">
      <c r="B90" s="181" t="s">
        <v>383</v>
      </c>
      <c r="C90" s="182"/>
      <c r="D90" s="227" t="s">
        <v>1165</v>
      </c>
      <c r="E90" s="132" t="s">
        <v>1118</v>
      </c>
      <c r="F90" s="132" t="s">
        <v>1054</v>
      </c>
      <c r="G90" s="236" t="s">
        <v>393</v>
      </c>
      <c r="H90" s="132" t="s">
        <v>78</v>
      </c>
      <c r="I90" s="187" t="s">
        <v>1058</v>
      </c>
    </row>
    <row r="91" spans="2:9" s="119" customFormat="1" ht="58" hidden="1" x14ac:dyDescent="0.35">
      <c r="B91" s="180" t="s">
        <v>383</v>
      </c>
      <c r="C91" s="183"/>
      <c r="D91" s="227" t="s">
        <v>1166</v>
      </c>
      <c r="E91" s="232" t="s">
        <v>1119</v>
      </c>
      <c r="F91" s="118" t="s">
        <v>1055</v>
      </c>
      <c r="G91" s="232" t="s">
        <v>393</v>
      </c>
      <c r="H91" s="118" t="s">
        <v>789</v>
      </c>
      <c r="I91" s="185" t="s">
        <v>1065</v>
      </c>
    </row>
    <row r="92" spans="2:9" s="119" customFormat="1" ht="43.5" hidden="1" x14ac:dyDescent="0.35">
      <c r="B92" s="180" t="s">
        <v>383</v>
      </c>
      <c r="C92" s="183"/>
      <c r="D92" s="227" t="s">
        <v>1167</v>
      </c>
      <c r="E92" s="232" t="s">
        <v>1120</v>
      </c>
      <c r="F92" s="118" t="s">
        <v>1056</v>
      </c>
      <c r="G92" s="232" t="s">
        <v>393</v>
      </c>
      <c r="H92" s="118" t="s">
        <v>789</v>
      </c>
      <c r="I92" s="185" t="s">
        <v>1066</v>
      </c>
    </row>
    <row r="93" spans="2:9" s="119" customFormat="1" ht="58" hidden="1" x14ac:dyDescent="0.35">
      <c r="B93" s="180" t="s">
        <v>383</v>
      </c>
      <c r="C93" s="183"/>
      <c r="D93" s="227" t="s">
        <v>1168</v>
      </c>
      <c r="E93" s="232" t="s">
        <v>1121</v>
      </c>
      <c r="F93" s="118" t="s">
        <v>1057</v>
      </c>
      <c r="G93" s="232" t="s">
        <v>393</v>
      </c>
      <c r="H93" s="118" t="s">
        <v>789</v>
      </c>
      <c r="I93" s="185" t="s">
        <v>1067</v>
      </c>
    </row>
    <row r="94" spans="2:9" s="120" customFormat="1" ht="170.4" hidden="1" customHeight="1" x14ac:dyDescent="0.3">
      <c r="B94" s="181" t="s">
        <v>383</v>
      </c>
      <c r="C94" s="182"/>
      <c r="D94" s="227" t="s">
        <v>1169</v>
      </c>
      <c r="E94" s="132" t="s">
        <v>1122</v>
      </c>
      <c r="F94" s="132" t="s">
        <v>1060</v>
      </c>
      <c r="G94" s="236" t="s">
        <v>393</v>
      </c>
      <c r="H94" s="132" t="s">
        <v>78</v>
      </c>
      <c r="I94" s="187" t="s">
        <v>1061</v>
      </c>
    </row>
    <row r="95" spans="2:9" ht="58" hidden="1" x14ac:dyDescent="0.3">
      <c r="B95" s="180" t="s">
        <v>383</v>
      </c>
      <c r="C95" s="183"/>
      <c r="D95" s="227" t="s">
        <v>1170</v>
      </c>
      <c r="E95" s="232" t="s">
        <v>1123</v>
      </c>
      <c r="F95" s="118" t="s">
        <v>1062</v>
      </c>
      <c r="G95" s="232" t="s">
        <v>393</v>
      </c>
      <c r="H95" s="118" t="s">
        <v>789</v>
      </c>
      <c r="I95" s="185" t="s">
        <v>1069</v>
      </c>
    </row>
    <row r="96" spans="2:9" ht="58" hidden="1" x14ac:dyDescent="0.3">
      <c r="B96" s="180" t="s">
        <v>383</v>
      </c>
      <c r="C96" s="183"/>
      <c r="D96" s="227" t="s">
        <v>1171</v>
      </c>
      <c r="E96" s="232" t="s">
        <v>1124</v>
      </c>
      <c r="F96" s="118" t="s">
        <v>1063</v>
      </c>
      <c r="G96" s="232" t="s">
        <v>393</v>
      </c>
      <c r="H96" s="118" t="s">
        <v>789</v>
      </c>
      <c r="I96" s="185" t="s">
        <v>1068</v>
      </c>
    </row>
    <row r="97" spans="2:9" ht="58" hidden="1" x14ac:dyDescent="0.3">
      <c r="B97" s="180" t="s">
        <v>383</v>
      </c>
      <c r="C97" s="183"/>
      <c r="D97" s="227" t="s">
        <v>1172</v>
      </c>
      <c r="E97" s="232" t="s">
        <v>1125</v>
      </c>
      <c r="F97" s="118" t="s">
        <v>1064</v>
      </c>
      <c r="G97" s="232" t="s">
        <v>393</v>
      </c>
      <c r="H97" s="118" t="s">
        <v>789</v>
      </c>
      <c r="I97" s="185" t="s">
        <v>1070</v>
      </c>
    </row>
    <row r="99" spans="2:9" ht="16.75" customHeight="1" x14ac:dyDescent="0.3">
      <c r="B99" s="246" t="s">
        <v>923</v>
      </c>
      <c r="C99" s="246"/>
      <c r="D99" s="246"/>
    </row>
  </sheetData>
  <autoFilter ref="B9:I97" xr:uid="{BB987DC2-32CA-4653-BACA-94A924C923EE}">
    <filterColumn colId="3">
      <filters>
        <filter val="TotalReferrals/ _x000a_MEASURE_VALUE_19_64"/>
        <filter val="TotalReferrals/_x000a_ MEASURE_VALUE_0_18"/>
        <filter val="TotalReferrals/_x000a_MEASURE_VALUE"/>
        <filter val="TotalReferrals/_x000a_MEASURE_VALUE_65_PLUS"/>
      </filters>
    </filterColumn>
  </autoFilter>
  <mergeCells count="4">
    <mergeCell ref="B3:C3"/>
    <mergeCell ref="B4:P4"/>
    <mergeCell ref="B5:P5"/>
    <mergeCell ref="B99:D99"/>
  </mergeCells>
  <phoneticPr fontId="64" type="noConversion"/>
  <hyperlinks>
    <hyperlink ref="B3" location="Cover!A1" display="Back to contents" xr:uid="{97CE7D11-B60A-4065-8045-721A7FD5F50F}"/>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9080A-AB0C-4FBB-BE32-20567162DC6A}">
  <dimension ref="A1:Q28"/>
  <sheetViews>
    <sheetView showGridLines="0" zoomScaleNormal="100" workbookViewId="0">
      <pane ySplit="11" topLeftCell="A12" activePane="bottomLeft" state="frozen"/>
      <selection pane="bottomLeft"/>
    </sheetView>
  </sheetViews>
  <sheetFormatPr defaultRowHeight="14.5" x14ac:dyDescent="0.35"/>
  <cols>
    <col min="1" max="1" width="2" customWidth="1"/>
    <col min="2" max="2" width="35.54296875" customWidth="1"/>
    <col min="3" max="3" width="44.81640625" customWidth="1"/>
    <col min="4" max="5" width="41.453125" customWidth="1"/>
  </cols>
  <sheetData>
    <row r="1" spans="1:17" s="6" customFormat="1" ht="15" customHeight="1" x14ac:dyDescent="0.35"/>
    <row r="2" spans="1:17" s="6" customFormat="1" ht="15" customHeight="1" x14ac:dyDescent="0.35"/>
    <row r="3" spans="1:17" s="6" customFormat="1" ht="15" customHeight="1" x14ac:dyDescent="0.35"/>
    <row r="4" spans="1:17" s="6" customFormat="1" ht="15" customHeight="1" x14ac:dyDescent="0.35"/>
    <row r="5" spans="1:17" s="6" customFormat="1" ht="15" customHeight="1" x14ac:dyDescent="0.35"/>
    <row r="6" spans="1:17" s="6" customFormat="1" ht="15" customHeight="1" x14ac:dyDescent="0.35">
      <c r="B6" s="259" t="s">
        <v>24</v>
      </c>
      <c r="C6" s="259"/>
    </row>
    <row r="7" spans="1:17" s="6" customFormat="1" ht="34.25" customHeight="1" x14ac:dyDescent="0.35">
      <c r="B7" s="252" t="str">
        <f>Cover!B7</f>
        <v>Community Services Statistics</v>
      </c>
      <c r="C7" s="252"/>
      <c r="D7" s="252"/>
      <c r="E7" s="252"/>
      <c r="F7" s="192"/>
      <c r="G7" s="192"/>
      <c r="H7" s="192"/>
      <c r="I7" s="192"/>
      <c r="J7" s="192"/>
      <c r="K7" s="192"/>
      <c r="L7" s="192"/>
      <c r="M7" s="192"/>
      <c r="N7" s="192"/>
      <c r="O7" s="192"/>
      <c r="P7" s="192"/>
      <c r="Q7" s="192"/>
    </row>
    <row r="8" spans="1:17" s="8" customFormat="1" ht="26.25" customHeight="1" x14ac:dyDescent="0.3">
      <c r="B8" s="253" t="str">
        <f>Cover!B15</f>
        <v>Table 1a Field Names</v>
      </c>
      <c r="C8" s="253"/>
      <c r="D8" s="253"/>
      <c r="E8" s="253"/>
      <c r="F8" s="193"/>
      <c r="G8" s="193"/>
      <c r="H8" s="193"/>
      <c r="I8" s="193"/>
      <c r="J8" s="193"/>
      <c r="K8" s="193"/>
      <c r="L8" s="193"/>
      <c r="M8" s="193"/>
      <c r="N8" s="193"/>
      <c r="O8" s="193"/>
      <c r="P8" s="193"/>
      <c r="Q8" s="193"/>
    </row>
    <row r="10" spans="1:17" ht="20.399999999999999" customHeight="1" x14ac:dyDescent="0.35">
      <c r="A10" s="6"/>
      <c r="B10" s="269" t="s">
        <v>939</v>
      </c>
      <c r="C10" s="269"/>
      <c r="D10" s="269"/>
      <c r="E10" s="269"/>
    </row>
    <row r="11" spans="1:17" s="170" customFormat="1" ht="19.75" customHeight="1" x14ac:dyDescent="0.35">
      <c r="A11" s="194"/>
      <c r="B11" s="237" t="s">
        <v>408</v>
      </c>
      <c r="C11" s="237" t="s">
        <v>409</v>
      </c>
      <c r="D11" s="237" t="s">
        <v>53</v>
      </c>
      <c r="E11" s="237" t="s">
        <v>373</v>
      </c>
    </row>
    <row r="12" spans="1:17" ht="30" customHeight="1" x14ac:dyDescent="0.35">
      <c r="A12" s="6"/>
      <c r="B12" s="239" t="s">
        <v>374</v>
      </c>
      <c r="C12" s="239" t="s">
        <v>410</v>
      </c>
      <c r="D12" s="237"/>
      <c r="E12" s="237"/>
    </row>
    <row r="13" spans="1:17" ht="19.25" customHeight="1" x14ac:dyDescent="0.35">
      <c r="A13" s="6"/>
      <c r="B13" s="239" t="s">
        <v>375</v>
      </c>
      <c r="C13" s="239" t="s">
        <v>411</v>
      </c>
      <c r="D13" s="239"/>
      <c r="E13" s="239"/>
    </row>
    <row r="14" spans="1:17" ht="78.650000000000006" customHeight="1" x14ac:dyDescent="0.35">
      <c r="A14" s="6"/>
      <c r="B14" s="239" t="s">
        <v>376</v>
      </c>
      <c r="C14" s="239" t="s">
        <v>412</v>
      </c>
      <c r="D14" s="240" t="s">
        <v>413</v>
      </c>
      <c r="E14" s="239"/>
    </row>
    <row r="15" spans="1:17" ht="38.4" customHeight="1" x14ac:dyDescent="0.35">
      <c r="A15" s="6"/>
      <c r="B15" s="239" t="s">
        <v>377</v>
      </c>
      <c r="C15" s="239" t="s">
        <v>414</v>
      </c>
      <c r="D15" s="239"/>
      <c r="E15" s="239"/>
    </row>
    <row r="16" spans="1:17" ht="45.65" customHeight="1" x14ac:dyDescent="0.35">
      <c r="A16" s="6"/>
      <c r="B16" s="239" t="s">
        <v>378</v>
      </c>
      <c r="C16" s="239" t="s">
        <v>415</v>
      </c>
      <c r="D16" s="239"/>
      <c r="E16" s="239" t="s">
        <v>813</v>
      </c>
    </row>
    <row r="17" spans="1:5" ht="38.4" customHeight="1" x14ac:dyDescent="0.35">
      <c r="A17" s="6"/>
      <c r="B17" s="239" t="s">
        <v>379</v>
      </c>
      <c r="C17" s="239" t="s">
        <v>416</v>
      </c>
      <c r="D17" s="239"/>
      <c r="E17" s="239"/>
    </row>
    <row r="18" spans="1:5" ht="19.25" customHeight="1" x14ac:dyDescent="0.35">
      <c r="A18" s="6"/>
      <c r="B18" s="239" t="s">
        <v>380</v>
      </c>
      <c r="C18" s="239" t="s">
        <v>417</v>
      </c>
      <c r="D18" s="239"/>
      <c r="E18" s="239"/>
    </row>
    <row r="19" spans="1:5" ht="38.4" customHeight="1" x14ac:dyDescent="0.35">
      <c r="A19" s="6"/>
      <c r="B19" s="239" t="s">
        <v>381</v>
      </c>
      <c r="C19" s="239" t="s">
        <v>418</v>
      </c>
      <c r="D19" s="239"/>
      <c r="E19" s="239"/>
    </row>
    <row r="20" spans="1:5" ht="38.4" customHeight="1" x14ac:dyDescent="0.35">
      <c r="A20" s="6"/>
      <c r="B20" s="239" t="s">
        <v>240</v>
      </c>
      <c r="C20" s="239" t="s">
        <v>419</v>
      </c>
      <c r="D20" s="239"/>
      <c r="E20" s="239"/>
    </row>
    <row r="21" spans="1:5" ht="38.4" customHeight="1" x14ac:dyDescent="0.35">
      <c r="A21" s="6"/>
      <c r="B21" s="239" t="s">
        <v>382</v>
      </c>
      <c r="C21" s="239" t="s">
        <v>418</v>
      </c>
      <c r="D21" s="239"/>
      <c r="E21" s="239"/>
    </row>
    <row r="22" spans="1:5" ht="38.4" customHeight="1" x14ac:dyDescent="0.35">
      <c r="A22" s="6"/>
      <c r="B22" s="239" t="s">
        <v>420</v>
      </c>
      <c r="C22" s="239" t="s">
        <v>419</v>
      </c>
      <c r="D22" s="239"/>
      <c r="E22" s="239"/>
    </row>
    <row r="23" spans="1:5" x14ac:dyDescent="0.35">
      <c r="A23" s="6"/>
      <c r="B23" s="239" t="s">
        <v>421</v>
      </c>
      <c r="C23" s="239" t="s">
        <v>422</v>
      </c>
      <c r="D23" s="239"/>
      <c r="E23" s="239"/>
    </row>
    <row r="24" spans="1:5" ht="38.4" customHeight="1" x14ac:dyDescent="0.35">
      <c r="A24" s="6"/>
      <c r="B24" s="239" t="s">
        <v>423</v>
      </c>
      <c r="C24" s="239" t="s">
        <v>424</v>
      </c>
      <c r="D24" s="239"/>
      <c r="E24" s="239"/>
    </row>
    <row r="25" spans="1:5" ht="38.4" customHeight="1" x14ac:dyDescent="0.35">
      <c r="A25" s="6"/>
      <c r="B25" s="239" t="s">
        <v>425</v>
      </c>
      <c r="C25" s="239" t="s">
        <v>426</v>
      </c>
      <c r="D25" s="239"/>
      <c r="E25" s="239"/>
    </row>
    <row r="26" spans="1:5" ht="38.4" customHeight="1" x14ac:dyDescent="0.35">
      <c r="A26" s="6"/>
      <c r="B26" s="239" t="s">
        <v>427</v>
      </c>
      <c r="C26" s="239" t="s">
        <v>428</v>
      </c>
      <c r="D26" s="239"/>
      <c r="E26" s="239"/>
    </row>
    <row r="28" spans="1:5" x14ac:dyDescent="0.35">
      <c r="B28" s="246" t="s">
        <v>923</v>
      </c>
      <c r="C28" s="246"/>
      <c r="D28" s="246"/>
    </row>
  </sheetData>
  <mergeCells count="5">
    <mergeCell ref="B10:E10"/>
    <mergeCell ref="B6:C6"/>
    <mergeCell ref="B7:E7"/>
    <mergeCell ref="B8:E8"/>
    <mergeCell ref="B28:D28"/>
  </mergeCells>
  <hyperlinks>
    <hyperlink ref="B6" location="Cover!A1" display="Back to contents" xr:uid="{78789860-2097-4232-8045-85369133DD9E}"/>
  </hyperlinks>
  <pageMargins left="0.7" right="0.7" top="0.75" bottom="0.75" header="0.3" footer="0.3"/>
  <pageSetup paperSize="9" scale="5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7ABD8-4C21-442A-91BA-9048413CD2A8}">
  <dimension ref="B1:Q35"/>
  <sheetViews>
    <sheetView showGridLines="0" zoomScale="90" zoomScaleNormal="90" workbookViewId="0">
      <pane xSplit="2" ySplit="10" topLeftCell="C11" activePane="bottomRight" state="frozen"/>
      <selection activeCell="A30" sqref="A30"/>
      <selection pane="topRight" activeCell="A30" sqref="A30"/>
      <selection pane="bottomLeft" activeCell="A30" sqref="A30"/>
      <selection pane="bottomRight"/>
    </sheetView>
  </sheetViews>
  <sheetFormatPr defaultColWidth="9.08984375" defaultRowHeight="14" x14ac:dyDescent="0.3"/>
  <cols>
    <col min="1" max="1" width="2.6328125" style="8" customWidth="1"/>
    <col min="2" max="2" width="62.1796875" style="8" customWidth="1"/>
    <col min="3" max="3" width="54.08984375" style="8" customWidth="1"/>
    <col min="4" max="4" width="29.6328125" style="8" customWidth="1"/>
    <col min="5" max="5" width="30.54296875" style="8" customWidth="1"/>
    <col min="6" max="6" width="140.453125" style="8" customWidth="1"/>
    <col min="7" max="16384" width="9.08984375" style="8"/>
  </cols>
  <sheetData>
    <row r="1" spans="2:17" s="6" customFormat="1" ht="15" customHeight="1" x14ac:dyDescent="0.35"/>
    <row r="2" spans="2:17" s="6" customFormat="1" ht="15" customHeight="1" x14ac:dyDescent="0.35"/>
    <row r="3" spans="2:17" s="6" customFormat="1" ht="15" customHeight="1" x14ac:dyDescent="0.35"/>
    <row r="4" spans="2:17" s="6" customFormat="1" ht="15" customHeight="1" x14ac:dyDescent="0.35"/>
    <row r="5" spans="2:17" s="6" customFormat="1" ht="15" customHeight="1" x14ac:dyDescent="0.35">
      <c r="B5" s="259" t="s">
        <v>24</v>
      </c>
      <c r="C5" s="259"/>
    </row>
    <row r="6" spans="2:17" s="6" customFormat="1" ht="34" x14ac:dyDescent="0.35">
      <c r="B6" s="252" t="str">
        <f>Cover!B7</f>
        <v>Community Services Statistics</v>
      </c>
      <c r="C6" s="252"/>
      <c r="D6" s="252"/>
      <c r="E6" s="252"/>
      <c r="F6" s="252"/>
      <c r="G6" s="252"/>
      <c r="H6" s="252"/>
      <c r="I6" s="252"/>
      <c r="J6" s="252"/>
      <c r="K6" s="252"/>
      <c r="L6" s="252"/>
      <c r="M6" s="252"/>
      <c r="N6" s="252"/>
      <c r="O6" s="252"/>
      <c r="P6" s="252"/>
      <c r="Q6" s="252"/>
    </row>
    <row r="7" spans="2:17" ht="26.25" customHeight="1" x14ac:dyDescent="0.3">
      <c r="B7" s="253" t="str">
        <f>Cover!B16</f>
        <v>Table 1b Dimensions</v>
      </c>
      <c r="C7" s="253"/>
      <c r="D7" s="253"/>
      <c r="E7" s="253"/>
      <c r="F7" s="253"/>
      <c r="G7" s="253"/>
      <c r="H7" s="253"/>
      <c r="I7" s="253"/>
      <c r="J7" s="253"/>
      <c r="K7" s="253"/>
      <c r="L7" s="253"/>
      <c r="M7" s="253"/>
      <c r="N7" s="253"/>
      <c r="O7" s="253"/>
      <c r="P7" s="253"/>
      <c r="Q7" s="253"/>
    </row>
    <row r="9" spans="2:17" x14ac:dyDescent="0.3">
      <c r="B9" s="175" t="s">
        <v>969</v>
      </c>
    </row>
    <row r="10" spans="2:17" s="15" customFormat="1" ht="62" x14ac:dyDescent="0.35">
      <c r="B10" s="197" t="s">
        <v>42</v>
      </c>
      <c r="C10" s="197" t="s">
        <v>941</v>
      </c>
      <c r="D10" s="197" t="s">
        <v>942</v>
      </c>
      <c r="E10" s="197" t="s">
        <v>1103</v>
      </c>
      <c r="F10" s="197" t="s">
        <v>943</v>
      </c>
    </row>
    <row r="11" spans="2:17" ht="174" x14ac:dyDescent="0.3">
      <c r="B11" s="241" t="s">
        <v>55</v>
      </c>
      <c r="C11" s="136" t="s">
        <v>56</v>
      </c>
      <c r="D11" s="136" t="s">
        <v>57</v>
      </c>
      <c r="E11" s="136" t="s">
        <v>58</v>
      </c>
      <c r="F11" s="196" t="s">
        <v>982</v>
      </c>
    </row>
    <row r="12" spans="2:17" ht="154.25" customHeight="1" x14ac:dyDescent="0.3">
      <c r="B12" s="241" t="s">
        <v>76</v>
      </c>
      <c r="C12" s="136" t="s">
        <v>77</v>
      </c>
      <c r="D12" s="136" t="s">
        <v>78</v>
      </c>
      <c r="E12" s="136" t="s">
        <v>79</v>
      </c>
      <c r="F12" s="196" t="s">
        <v>983</v>
      </c>
    </row>
    <row r="13" spans="2:17" ht="147" customHeight="1" x14ac:dyDescent="0.3">
      <c r="B13" s="241" t="s">
        <v>88</v>
      </c>
      <c r="C13" s="136" t="s">
        <v>89</v>
      </c>
      <c r="D13" s="136" t="s">
        <v>90</v>
      </c>
      <c r="E13" s="136" t="s">
        <v>91</v>
      </c>
      <c r="F13" s="196" t="s">
        <v>944</v>
      </c>
    </row>
    <row r="14" spans="2:17" ht="188.5" x14ac:dyDescent="0.3">
      <c r="B14" s="241" t="s">
        <v>109</v>
      </c>
      <c r="C14" s="136" t="s">
        <v>945</v>
      </c>
      <c r="D14" s="136" t="s">
        <v>946</v>
      </c>
      <c r="E14" s="136" t="s">
        <v>111</v>
      </c>
      <c r="F14" s="196" t="s">
        <v>984</v>
      </c>
    </row>
    <row r="15" spans="2:17" ht="247.25" customHeight="1" x14ac:dyDescent="0.3">
      <c r="B15" s="241" t="s">
        <v>124</v>
      </c>
      <c r="C15" s="136" t="s">
        <v>947</v>
      </c>
      <c r="D15" s="136" t="s">
        <v>90</v>
      </c>
      <c r="E15" s="136" t="s">
        <v>111</v>
      </c>
      <c r="F15" s="196" t="s">
        <v>786</v>
      </c>
    </row>
    <row r="16" spans="2:17" ht="154.25" customHeight="1" x14ac:dyDescent="0.3">
      <c r="B16" s="241" t="s">
        <v>136</v>
      </c>
      <c r="C16" s="136" t="s">
        <v>137</v>
      </c>
      <c r="D16" s="136" t="s">
        <v>78</v>
      </c>
      <c r="E16" s="136" t="s">
        <v>58</v>
      </c>
      <c r="F16" s="196" t="s">
        <v>794</v>
      </c>
    </row>
    <row r="17" spans="2:6" ht="371.4" customHeight="1" x14ac:dyDescent="0.3">
      <c r="B17" s="241" t="s">
        <v>145</v>
      </c>
      <c r="C17" s="136" t="s">
        <v>948</v>
      </c>
      <c r="D17" s="136" t="s">
        <v>78</v>
      </c>
      <c r="E17" s="136" t="s">
        <v>58</v>
      </c>
      <c r="F17" s="196" t="s">
        <v>985</v>
      </c>
    </row>
    <row r="18" spans="2:6" ht="84.65" customHeight="1" x14ac:dyDescent="0.3">
      <c r="B18" s="241" t="s">
        <v>170</v>
      </c>
      <c r="C18" s="136" t="s">
        <v>171</v>
      </c>
      <c r="D18" s="136" t="s">
        <v>949</v>
      </c>
      <c r="E18" s="136" t="s">
        <v>950</v>
      </c>
      <c r="F18" s="196" t="s">
        <v>1163</v>
      </c>
    </row>
    <row r="19" spans="2:6" ht="230.4" customHeight="1" x14ac:dyDescent="0.3">
      <c r="B19" s="241" t="s">
        <v>179</v>
      </c>
      <c r="C19" s="136" t="s">
        <v>180</v>
      </c>
      <c r="D19" s="136" t="s">
        <v>90</v>
      </c>
      <c r="E19" s="136" t="s">
        <v>111</v>
      </c>
      <c r="F19" s="196" t="s">
        <v>980</v>
      </c>
    </row>
    <row r="20" spans="2:6" ht="186" customHeight="1" x14ac:dyDescent="0.3">
      <c r="B20" s="241" t="s">
        <v>188</v>
      </c>
      <c r="C20" s="136" t="s">
        <v>952</v>
      </c>
      <c r="D20" s="136" t="s">
        <v>953</v>
      </c>
      <c r="E20" s="136" t="s">
        <v>190</v>
      </c>
      <c r="F20" s="196" t="s">
        <v>981</v>
      </c>
    </row>
    <row r="21" spans="2:6" ht="87" x14ac:dyDescent="0.3">
      <c r="B21" s="241" t="s">
        <v>196</v>
      </c>
      <c r="C21" s="136" t="s">
        <v>955</v>
      </c>
      <c r="D21" s="136" t="s">
        <v>956</v>
      </c>
      <c r="E21" s="136" t="s">
        <v>198</v>
      </c>
      <c r="F21" s="196" t="s">
        <v>971</v>
      </c>
    </row>
    <row r="22" spans="2:6" ht="87" x14ac:dyDescent="0.3">
      <c r="B22" s="241" t="s">
        <v>204</v>
      </c>
      <c r="C22" s="136" t="s">
        <v>957</v>
      </c>
      <c r="D22" s="136" t="s">
        <v>78</v>
      </c>
      <c r="E22" s="136" t="s">
        <v>58</v>
      </c>
      <c r="F22" s="196" t="s">
        <v>972</v>
      </c>
    </row>
    <row r="23" spans="2:6" ht="69" customHeight="1" x14ac:dyDescent="0.3">
      <c r="B23" s="241" t="s">
        <v>205</v>
      </c>
      <c r="C23" s="136" t="s">
        <v>958</v>
      </c>
      <c r="D23" s="136" t="s">
        <v>356</v>
      </c>
      <c r="E23" s="136" t="s">
        <v>914</v>
      </c>
      <c r="F23" s="196" t="s">
        <v>973</v>
      </c>
    </row>
    <row r="24" spans="2:6" ht="87" x14ac:dyDescent="0.3">
      <c r="B24" s="241" t="s">
        <v>209</v>
      </c>
      <c r="C24" s="136" t="s">
        <v>959</v>
      </c>
      <c r="D24" s="136" t="s">
        <v>78</v>
      </c>
      <c r="E24" s="136" t="s">
        <v>79</v>
      </c>
      <c r="F24" s="196" t="s">
        <v>974</v>
      </c>
    </row>
    <row r="25" spans="2:6" ht="103.75" customHeight="1" x14ac:dyDescent="0.3">
      <c r="B25" s="241" t="s">
        <v>210</v>
      </c>
      <c r="C25" s="136" t="s">
        <v>1138</v>
      </c>
      <c r="D25" s="136" t="s">
        <v>57</v>
      </c>
      <c r="E25" s="136" t="s">
        <v>211</v>
      </c>
      <c r="F25" s="196" t="s">
        <v>975</v>
      </c>
    </row>
    <row r="26" spans="2:6" ht="107.15" customHeight="1" x14ac:dyDescent="0.3">
      <c r="B26" s="241" t="s">
        <v>214</v>
      </c>
      <c r="C26" s="136" t="s">
        <v>960</v>
      </c>
      <c r="D26" s="136" t="s">
        <v>946</v>
      </c>
      <c r="E26" s="136" t="s">
        <v>215</v>
      </c>
      <c r="F26" s="196" t="s">
        <v>976</v>
      </c>
    </row>
    <row r="27" spans="2:6" ht="169.25" customHeight="1" x14ac:dyDescent="0.3">
      <c r="B27" s="241" t="s">
        <v>223</v>
      </c>
      <c r="C27" s="136" t="s">
        <v>961</v>
      </c>
      <c r="D27" s="136" t="s">
        <v>916</v>
      </c>
      <c r="E27" s="136" t="s">
        <v>198</v>
      </c>
      <c r="F27" s="196" t="s">
        <v>977</v>
      </c>
    </row>
    <row r="28" spans="2:6" ht="300.64999999999998" customHeight="1" x14ac:dyDescent="0.3">
      <c r="B28" s="241" t="s">
        <v>230</v>
      </c>
      <c r="C28" s="136" t="s">
        <v>962</v>
      </c>
      <c r="D28" s="136" t="s">
        <v>78</v>
      </c>
      <c r="E28" s="136" t="s">
        <v>58</v>
      </c>
      <c r="F28" s="196" t="s">
        <v>970</v>
      </c>
    </row>
    <row r="29" spans="2:6" ht="144" customHeight="1" x14ac:dyDescent="0.3">
      <c r="B29" s="241" t="s">
        <v>234</v>
      </c>
      <c r="C29" s="136" t="s">
        <v>963</v>
      </c>
      <c r="D29" s="136" t="s">
        <v>1173</v>
      </c>
      <c r="E29" s="136" t="s">
        <v>58</v>
      </c>
      <c r="F29" s="196" t="s">
        <v>964</v>
      </c>
    </row>
    <row r="30" spans="2:6" ht="84.65" customHeight="1" x14ac:dyDescent="0.3">
      <c r="B30" s="241" t="s">
        <v>251</v>
      </c>
      <c r="C30" s="136" t="s">
        <v>965</v>
      </c>
      <c r="D30" s="136" t="s">
        <v>90</v>
      </c>
      <c r="E30" s="136" t="s">
        <v>91</v>
      </c>
      <c r="F30" s="196" t="s">
        <v>966</v>
      </c>
    </row>
    <row r="31" spans="2:6" ht="101.5" x14ac:dyDescent="0.3">
      <c r="B31" s="241" t="s">
        <v>256</v>
      </c>
      <c r="C31" s="136" t="s">
        <v>257</v>
      </c>
      <c r="D31" s="136" t="s">
        <v>90</v>
      </c>
      <c r="E31" s="136" t="s">
        <v>111</v>
      </c>
      <c r="F31" s="196" t="s">
        <v>967</v>
      </c>
    </row>
    <row r="32" spans="2:6" ht="155.4" customHeight="1" x14ac:dyDescent="0.3">
      <c r="B32" s="241" t="s">
        <v>261</v>
      </c>
      <c r="C32" s="136" t="s">
        <v>262</v>
      </c>
      <c r="D32" s="136" t="s">
        <v>263</v>
      </c>
      <c r="E32" s="136" t="s">
        <v>91</v>
      </c>
      <c r="F32" s="196" t="s">
        <v>978</v>
      </c>
    </row>
    <row r="33" spans="2:6" ht="187.75" customHeight="1" x14ac:dyDescent="0.3">
      <c r="B33" s="241" t="s">
        <v>295</v>
      </c>
      <c r="C33" s="136" t="s">
        <v>296</v>
      </c>
      <c r="D33" s="136" t="s">
        <v>90</v>
      </c>
      <c r="E33" s="136" t="s">
        <v>111</v>
      </c>
      <c r="F33" s="196" t="s">
        <v>979</v>
      </c>
    </row>
    <row r="35" spans="2:6" ht="16.25" customHeight="1" x14ac:dyDescent="0.3">
      <c r="B35" s="246" t="s">
        <v>923</v>
      </c>
      <c r="C35" s="246"/>
      <c r="D35" s="246"/>
    </row>
  </sheetData>
  <autoFilter ref="B10:F33" xr:uid="{E657ABD8-4C21-442A-91BA-9048413CD2A8}"/>
  <mergeCells count="4">
    <mergeCell ref="B7:Q7"/>
    <mergeCell ref="B5:C5"/>
    <mergeCell ref="B6:Q6"/>
    <mergeCell ref="B35:D35"/>
  </mergeCells>
  <hyperlinks>
    <hyperlink ref="B5" location="Cover!A1" display="Back to contents" xr:uid="{B478BBE9-2371-4FB6-82F9-F658CF9410B3}"/>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7EA00-FF0A-443D-94AB-ACB99F8C2EEC}">
  <dimension ref="B1:Q23"/>
  <sheetViews>
    <sheetView showGridLines="0" zoomScaleNormal="100" workbookViewId="0">
      <pane ySplit="11" topLeftCell="A12" activePane="bottomLeft" state="frozen"/>
      <selection pane="bottomLeft"/>
    </sheetView>
  </sheetViews>
  <sheetFormatPr defaultRowHeight="14.5" x14ac:dyDescent="0.35"/>
  <cols>
    <col min="1" max="1" width="1.54296875" customWidth="1"/>
    <col min="2" max="4" width="33.54296875" customWidth="1"/>
    <col min="5" max="5" width="38.453125" style="137" customWidth="1"/>
    <col min="6" max="6" width="56.08984375" customWidth="1"/>
    <col min="7" max="7" width="33.54296875" hidden="1" customWidth="1"/>
  </cols>
  <sheetData>
    <row r="1" spans="2:17" s="6" customFormat="1" ht="15" customHeight="1" x14ac:dyDescent="0.35"/>
    <row r="2" spans="2:17" s="6" customFormat="1" ht="15" customHeight="1" x14ac:dyDescent="0.35"/>
    <row r="3" spans="2:17" s="6" customFormat="1" ht="15" customHeight="1" x14ac:dyDescent="0.35"/>
    <row r="4" spans="2:17" s="6" customFormat="1" ht="15" customHeight="1" x14ac:dyDescent="0.35"/>
    <row r="5" spans="2:17" s="6" customFormat="1" ht="15" customHeight="1" x14ac:dyDescent="0.35">
      <c r="B5" s="259" t="s">
        <v>24</v>
      </c>
      <c r="C5" s="259"/>
    </row>
    <row r="6" spans="2:17" s="6" customFormat="1" ht="34" x14ac:dyDescent="0.35">
      <c r="B6" s="252" t="str">
        <f>Cover!B7</f>
        <v>Community Services Statistics</v>
      </c>
      <c r="C6" s="252"/>
      <c r="D6" s="252"/>
      <c r="E6" s="252"/>
      <c r="F6" s="252"/>
      <c r="G6" s="252"/>
      <c r="H6" s="252"/>
      <c r="I6" s="252"/>
      <c r="J6" s="252"/>
      <c r="K6" s="252"/>
      <c r="L6" s="252"/>
      <c r="M6" s="252"/>
      <c r="N6" s="252"/>
      <c r="O6" s="252"/>
      <c r="P6" s="252"/>
      <c r="Q6" s="252"/>
    </row>
    <row r="7" spans="2:17" s="6" customFormat="1" ht="25" x14ac:dyDescent="0.35">
      <c r="B7" s="253" t="str">
        <f>Cover!B17</f>
        <v>Table 1c Counts</v>
      </c>
      <c r="C7" s="253"/>
      <c r="D7" s="253"/>
      <c r="E7" s="253"/>
      <c r="F7" s="253"/>
      <c r="G7" s="253"/>
      <c r="H7" s="253"/>
      <c r="I7" s="253"/>
      <c r="J7" s="253"/>
      <c r="K7" s="253"/>
      <c r="L7" s="253"/>
      <c r="M7" s="253"/>
      <c r="N7" s="253"/>
      <c r="O7" s="253"/>
      <c r="P7" s="253"/>
      <c r="Q7" s="253"/>
    </row>
    <row r="8" spans="2:17" s="6" customFormat="1" ht="15" customHeight="1" x14ac:dyDescent="0.35"/>
    <row r="9" spans="2:17" ht="29.25" customHeight="1" x14ac:dyDescent="0.35">
      <c r="B9" s="198" t="s">
        <v>927</v>
      </c>
      <c r="C9" s="199"/>
      <c r="D9" s="199"/>
      <c r="E9" s="200"/>
      <c r="F9" s="201"/>
      <c r="G9" s="202"/>
      <c r="H9" s="48"/>
    </row>
    <row r="10" spans="2:17" ht="18" customHeight="1" x14ac:dyDescent="0.35">
      <c r="B10" s="203" t="s">
        <v>310</v>
      </c>
      <c r="C10" s="203" t="s">
        <v>476</v>
      </c>
      <c r="D10" s="204" t="s">
        <v>44</v>
      </c>
      <c r="E10" s="205" t="s">
        <v>478</v>
      </c>
      <c r="F10" s="203" t="s">
        <v>968</v>
      </c>
      <c r="G10" s="203" t="s">
        <v>926</v>
      </c>
      <c r="H10" s="48"/>
    </row>
    <row r="11" spans="2:17" ht="28" x14ac:dyDescent="0.35">
      <c r="B11" s="206"/>
      <c r="C11" s="206"/>
      <c r="D11" s="207" t="s">
        <v>890</v>
      </c>
      <c r="E11" s="208"/>
      <c r="F11" s="206"/>
      <c r="G11" s="217" t="s">
        <v>1164</v>
      </c>
      <c r="H11" s="48"/>
    </row>
    <row r="12" spans="2:17" ht="105" customHeight="1" x14ac:dyDescent="0.35">
      <c r="B12" s="242" t="s">
        <v>198</v>
      </c>
      <c r="C12" s="243" t="s">
        <v>316</v>
      </c>
      <c r="D12" s="243" t="s">
        <v>913</v>
      </c>
      <c r="E12" s="240" t="s">
        <v>885</v>
      </c>
      <c r="F12" s="212" t="s">
        <v>1096</v>
      </c>
      <c r="G12" s="210" t="s">
        <v>320</v>
      </c>
      <c r="H12" s="48"/>
    </row>
    <row r="13" spans="2:17" ht="125.4" customHeight="1" x14ac:dyDescent="0.35">
      <c r="B13" s="242" t="s">
        <v>58</v>
      </c>
      <c r="C13" s="243" t="s">
        <v>325</v>
      </c>
      <c r="D13" s="243" t="s">
        <v>78</v>
      </c>
      <c r="E13" s="240" t="s">
        <v>886</v>
      </c>
      <c r="F13" s="212" t="s">
        <v>1097</v>
      </c>
      <c r="G13" s="211" t="s">
        <v>328</v>
      </c>
      <c r="H13" s="48"/>
    </row>
    <row r="14" spans="2:17" ht="107.4" customHeight="1" x14ac:dyDescent="0.35">
      <c r="B14" s="242" t="s">
        <v>79</v>
      </c>
      <c r="C14" s="243" t="s">
        <v>333</v>
      </c>
      <c r="D14" s="243" t="s">
        <v>78</v>
      </c>
      <c r="E14" s="240" t="s">
        <v>887</v>
      </c>
      <c r="F14" s="212" t="s">
        <v>1098</v>
      </c>
      <c r="G14" s="211" t="s">
        <v>328</v>
      </c>
      <c r="H14" s="48"/>
    </row>
    <row r="15" spans="2:17" ht="116" x14ac:dyDescent="0.35">
      <c r="B15" s="242" t="s">
        <v>211</v>
      </c>
      <c r="C15" s="243" t="s">
        <v>337</v>
      </c>
      <c r="D15" s="243" t="s">
        <v>1176</v>
      </c>
      <c r="E15" s="244" t="s">
        <v>210</v>
      </c>
      <c r="F15" s="212" t="s">
        <v>1099</v>
      </c>
      <c r="G15" s="211" t="s">
        <v>328</v>
      </c>
      <c r="H15" s="48"/>
    </row>
    <row r="16" spans="2:17" ht="130.5" x14ac:dyDescent="0.35">
      <c r="B16" s="242" t="s">
        <v>91</v>
      </c>
      <c r="C16" s="243" t="s">
        <v>339</v>
      </c>
      <c r="D16" s="243" t="s">
        <v>90</v>
      </c>
      <c r="E16" s="240" t="s">
        <v>888</v>
      </c>
      <c r="F16" s="212" t="s">
        <v>1100</v>
      </c>
      <c r="G16" s="209" t="s">
        <v>342</v>
      </c>
      <c r="H16" s="48"/>
    </row>
    <row r="17" spans="2:8" ht="130.5" x14ac:dyDescent="0.35">
      <c r="B17" s="242" t="s">
        <v>215</v>
      </c>
      <c r="C17" s="243" t="s">
        <v>350</v>
      </c>
      <c r="D17" s="243" t="s">
        <v>915</v>
      </c>
      <c r="E17" s="240" t="s">
        <v>214</v>
      </c>
      <c r="F17" s="212" t="s">
        <v>1100</v>
      </c>
      <c r="G17" s="209" t="s">
        <v>342</v>
      </c>
      <c r="H17" s="53"/>
    </row>
    <row r="18" spans="2:8" ht="87" x14ac:dyDescent="0.35">
      <c r="B18" s="242" t="s">
        <v>1150</v>
      </c>
      <c r="C18" s="243" t="s">
        <v>355</v>
      </c>
      <c r="D18" s="243" t="s">
        <v>356</v>
      </c>
      <c r="E18" s="240" t="s">
        <v>205</v>
      </c>
      <c r="F18" s="212" t="s">
        <v>1101</v>
      </c>
      <c r="G18" s="211" t="s">
        <v>359</v>
      </c>
      <c r="H18" s="48"/>
    </row>
    <row r="19" spans="2:8" ht="174" x14ac:dyDescent="0.35">
      <c r="B19" s="242" t="s">
        <v>111</v>
      </c>
      <c r="C19" s="243" t="s">
        <v>361</v>
      </c>
      <c r="D19" s="243" t="s">
        <v>90</v>
      </c>
      <c r="E19" s="240" t="s">
        <v>889</v>
      </c>
      <c r="F19" s="213" t="s">
        <v>1102</v>
      </c>
      <c r="G19" s="209" t="s">
        <v>342</v>
      </c>
      <c r="H19" s="48"/>
    </row>
    <row r="20" spans="2:8" ht="135.65" customHeight="1" x14ac:dyDescent="0.35">
      <c r="B20" s="242" t="s">
        <v>190</v>
      </c>
      <c r="C20" s="243"/>
      <c r="D20" s="243" t="s">
        <v>78</v>
      </c>
      <c r="E20" s="244" t="s">
        <v>188</v>
      </c>
      <c r="F20" s="213" t="s">
        <v>884</v>
      </c>
      <c r="G20" s="209" t="s">
        <v>370</v>
      </c>
      <c r="H20" s="48"/>
    </row>
    <row r="21" spans="2:8" ht="15.5" x14ac:dyDescent="0.35">
      <c r="B21" s="173"/>
    </row>
    <row r="22" spans="2:8" x14ac:dyDescent="0.35">
      <c r="B22" s="246" t="s">
        <v>923</v>
      </c>
      <c r="C22" s="246"/>
      <c r="D22" s="246"/>
    </row>
    <row r="23" spans="2:8" x14ac:dyDescent="0.35">
      <c r="B23" s="174"/>
    </row>
  </sheetData>
  <mergeCells count="4">
    <mergeCell ref="B5:C5"/>
    <mergeCell ref="B6:Q6"/>
    <mergeCell ref="B7:Q7"/>
    <mergeCell ref="B22:D22"/>
  </mergeCells>
  <hyperlinks>
    <hyperlink ref="B5" location="Cover!A1" display="Back to contents" xr:uid="{76B7FCE9-65C8-417B-AB80-BF50563E3DD4}"/>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324F2-4D25-4CEE-A899-16230E7C7120}">
  <dimension ref="B1:G88"/>
  <sheetViews>
    <sheetView showGridLines="0" zoomScale="90" zoomScaleNormal="90" workbookViewId="0">
      <pane ySplit="9" topLeftCell="A10" activePane="bottomLeft" state="frozen"/>
      <selection pane="bottomLeft"/>
    </sheetView>
  </sheetViews>
  <sheetFormatPr defaultRowHeight="14.5" x14ac:dyDescent="0.35"/>
  <cols>
    <col min="1" max="1" width="2.54296875" customWidth="1"/>
    <col min="2" max="2" width="54.90625" customWidth="1"/>
    <col min="3" max="3" width="41.36328125" customWidth="1"/>
    <col min="4" max="4" width="41.6328125" customWidth="1"/>
    <col min="5" max="5" width="28.08984375" customWidth="1"/>
    <col min="6" max="6" width="100.90625" customWidth="1"/>
    <col min="7" max="7" width="22.08984375" customWidth="1"/>
  </cols>
  <sheetData>
    <row r="1" spans="2:5" x14ac:dyDescent="0.35">
      <c r="B1" s="6"/>
      <c r="C1" s="6"/>
      <c r="D1" s="6"/>
      <c r="E1" s="6"/>
    </row>
    <row r="2" spans="2:5" x14ac:dyDescent="0.35">
      <c r="B2" s="6"/>
      <c r="C2" s="6"/>
      <c r="D2" s="6"/>
      <c r="E2" s="6"/>
    </row>
    <row r="3" spans="2:5" x14ac:dyDescent="0.35">
      <c r="B3" s="6"/>
      <c r="C3" s="6"/>
      <c r="D3" s="6"/>
      <c r="E3" s="6"/>
    </row>
    <row r="4" spans="2:5" x14ac:dyDescent="0.35">
      <c r="B4" s="6"/>
      <c r="C4" s="6"/>
      <c r="D4" s="6"/>
      <c r="E4" s="6"/>
    </row>
    <row r="5" spans="2:5" x14ac:dyDescent="0.35">
      <c r="B5" s="6"/>
      <c r="C5" s="6"/>
      <c r="D5" s="6"/>
      <c r="E5" s="6"/>
    </row>
    <row r="6" spans="2:5" x14ac:dyDescent="0.35">
      <c r="B6" s="6"/>
      <c r="C6" s="6"/>
      <c r="D6" s="6"/>
      <c r="E6" s="6"/>
    </row>
    <row r="7" spans="2:5" x14ac:dyDescent="0.35">
      <c r="B7" s="259" t="s">
        <v>24</v>
      </c>
      <c r="C7" s="259"/>
      <c r="D7" s="6"/>
      <c r="E7" s="6"/>
    </row>
    <row r="8" spans="2:5" ht="32.5" x14ac:dyDescent="0.35">
      <c r="B8" s="270" t="str">
        <f>Cover!B7</f>
        <v>Community Services Statistics</v>
      </c>
      <c r="C8" s="270"/>
      <c r="D8" s="270"/>
      <c r="E8" s="270"/>
    </row>
    <row r="9" spans="2:5" ht="25" x14ac:dyDescent="0.35">
      <c r="B9" s="253" t="s">
        <v>1177</v>
      </c>
      <c r="C9" s="253"/>
      <c r="D9" s="253"/>
      <c r="E9" s="253"/>
    </row>
    <row r="10" spans="2:5" x14ac:dyDescent="0.35">
      <c r="B10" s="271"/>
      <c r="C10" s="271"/>
      <c r="D10" s="271"/>
      <c r="E10" s="271"/>
    </row>
    <row r="11" spans="2:5" x14ac:dyDescent="0.35">
      <c r="B11" s="272" t="s">
        <v>402</v>
      </c>
      <c r="C11" s="272"/>
      <c r="D11" s="272"/>
      <c r="E11" s="272"/>
    </row>
    <row r="12" spans="2:5" x14ac:dyDescent="0.35">
      <c r="B12" s="259"/>
      <c r="C12" s="259"/>
      <c r="D12" s="259"/>
      <c r="E12" s="259"/>
    </row>
    <row r="13" spans="2:5" x14ac:dyDescent="0.35">
      <c r="B13" s="259" t="s">
        <v>934</v>
      </c>
      <c r="C13" s="259"/>
      <c r="D13" s="259"/>
      <c r="E13" s="259"/>
    </row>
    <row r="14" spans="2:5" x14ac:dyDescent="0.35">
      <c r="B14" s="259" t="s">
        <v>935</v>
      </c>
      <c r="C14" s="259"/>
      <c r="D14" s="259"/>
      <c r="E14" s="259"/>
    </row>
    <row r="15" spans="2:5" ht="54.75" customHeight="1" x14ac:dyDescent="0.35">
      <c r="B15" s="272" t="s">
        <v>406</v>
      </c>
      <c r="C15" s="272"/>
      <c r="D15" s="272"/>
      <c r="E15" s="272"/>
    </row>
    <row r="16" spans="2:5" x14ac:dyDescent="0.35">
      <c r="B16" s="259" t="s">
        <v>927</v>
      </c>
      <c r="C16" s="259"/>
      <c r="D16" s="259"/>
      <c r="E16" s="259"/>
    </row>
    <row r="17" spans="2:7" ht="30.65" customHeight="1" x14ac:dyDescent="0.35">
      <c r="B17" s="273" t="s">
        <v>407</v>
      </c>
      <c r="C17" s="273"/>
      <c r="D17" s="273"/>
      <c r="E17" s="273"/>
    </row>
    <row r="20" spans="2:7" x14ac:dyDescent="0.35">
      <c r="B20" s="269" t="s">
        <v>934</v>
      </c>
      <c r="C20" s="269"/>
      <c r="D20" s="269"/>
      <c r="E20" s="269"/>
    </row>
    <row r="21" spans="2:7" x14ac:dyDescent="0.35">
      <c r="B21" s="214" t="s">
        <v>408</v>
      </c>
      <c r="C21" s="214" t="s">
        <v>409</v>
      </c>
      <c r="D21" s="214" t="s">
        <v>53</v>
      </c>
      <c r="E21" s="214" t="s">
        <v>373</v>
      </c>
    </row>
    <row r="22" spans="2:7" ht="28" x14ac:dyDescent="0.35">
      <c r="B22" s="215" t="s">
        <v>374</v>
      </c>
      <c r="C22" s="215" t="s">
        <v>410</v>
      </c>
      <c r="D22" s="215"/>
      <c r="E22" s="215"/>
    </row>
    <row r="23" spans="2:7" x14ac:dyDescent="0.35">
      <c r="B23" s="215" t="s">
        <v>375</v>
      </c>
      <c r="C23" s="215" t="s">
        <v>411</v>
      </c>
      <c r="D23" s="215"/>
      <c r="E23" s="215"/>
    </row>
    <row r="24" spans="2:7" ht="28" x14ac:dyDescent="0.35">
      <c r="B24" s="215" t="s">
        <v>378</v>
      </c>
      <c r="C24" s="215" t="s">
        <v>415</v>
      </c>
      <c r="D24" s="215"/>
      <c r="E24" s="215"/>
    </row>
    <row r="25" spans="2:7" ht="28" x14ac:dyDescent="0.35">
      <c r="B25" s="215" t="s">
        <v>376</v>
      </c>
      <c r="C25" s="215" t="s">
        <v>412</v>
      </c>
      <c r="D25" s="215"/>
      <c r="E25" s="215"/>
    </row>
    <row r="26" spans="2:7" ht="28" x14ac:dyDescent="0.35">
      <c r="B26" s="215" t="s">
        <v>377</v>
      </c>
      <c r="C26" s="215" t="s">
        <v>414</v>
      </c>
      <c r="D26" s="215"/>
      <c r="E26" s="215"/>
    </row>
    <row r="27" spans="2:7" x14ac:dyDescent="0.35">
      <c r="B27" s="215" t="s">
        <v>380</v>
      </c>
      <c r="C27" s="215" t="s">
        <v>417</v>
      </c>
      <c r="D27" s="215"/>
      <c r="E27" s="215"/>
    </row>
    <row r="28" spans="2:7" ht="28" x14ac:dyDescent="0.35">
      <c r="B28" s="215" t="s">
        <v>381</v>
      </c>
      <c r="C28" s="215" t="s">
        <v>418</v>
      </c>
      <c r="D28" s="215"/>
      <c r="E28" s="215"/>
    </row>
    <row r="29" spans="2:7" x14ac:dyDescent="0.35">
      <c r="B29" s="215" t="s">
        <v>421</v>
      </c>
      <c r="C29" s="215" t="s">
        <v>422</v>
      </c>
      <c r="D29" s="215"/>
      <c r="E29" s="215"/>
    </row>
    <row r="30" spans="2:7" ht="15" thickBot="1" x14ac:dyDescent="0.4"/>
    <row r="31" spans="2:7" x14ac:dyDescent="0.35">
      <c r="B31" s="24"/>
      <c r="C31" s="24"/>
      <c r="D31" s="24"/>
      <c r="E31" s="24"/>
      <c r="F31" s="24"/>
      <c r="G31" s="24"/>
    </row>
    <row r="32" spans="2:7" ht="21" customHeight="1" x14ac:dyDescent="0.35">
      <c r="B32" s="269" t="s">
        <v>936</v>
      </c>
      <c r="C32" s="269"/>
      <c r="D32" s="269"/>
      <c r="E32" s="269"/>
      <c r="F32" s="6"/>
      <c r="G32" s="6"/>
    </row>
    <row r="33" spans="2:7" ht="64.25" customHeight="1" x14ac:dyDescent="0.35">
      <c r="B33" s="214" t="s">
        <v>495</v>
      </c>
      <c r="C33" s="214" t="s">
        <v>496</v>
      </c>
      <c r="D33" s="214" t="s">
        <v>430</v>
      </c>
      <c r="E33" s="214" t="s">
        <v>45</v>
      </c>
      <c r="F33" s="214" t="s">
        <v>431</v>
      </c>
      <c r="G33" s="214" t="s">
        <v>373</v>
      </c>
    </row>
    <row r="34" spans="2:7" ht="177.65" customHeight="1" x14ac:dyDescent="0.35">
      <c r="B34" s="237" t="s">
        <v>497</v>
      </c>
      <c r="C34" s="239" t="s">
        <v>498</v>
      </c>
      <c r="D34" s="239" t="s">
        <v>499</v>
      </c>
      <c r="E34" s="239" t="s">
        <v>500</v>
      </c>
      <c r="F34" s="216" t="s">
        <v>501</v>
      </c>
      <c r="G34" s="215"/>
    </row>
    <row r="35" spans="2:7" ht="211.25" customHeight="1" x14ac:dyDescent="0.35">
      <c r="B35" s="237" t="s">
        <v>502</v>
      </c>
      <c r="C35" s="239" t="s">
        <v>503</v>
      </c>
      <c r="D35" s="239" t="s">
        <v>504</v>
      </c>
      <c r="E35" s="239" t="s">
        <v>500</v>
      </c>
      <c r="F35" s="216" t="s">
        <v>505</v>
      </c>
      <c r="G35" s="215"/>
    </row>
    <row r="36" spans="2:7" ht="56" x14ac:dyDescent="0.35">
      <c r="B36" s="237" t="s">
        <v>506</v>
      </c>
      <c r="C36" s="239" t="s">
        <v>507</v>
      </c>
      <c r="D36" s="239" t="s">
        <v>504</v>
      </c>
      <c r="E36" s="239" t="s">
        <v>500</v>
      </c>
      <c r="F36" s="216" t="s">
        <v>508</v>
      </c>
      <c r="G36" s="215"/>
    </row>
    <row r="37" spans="2:7" ht="206.4" customHeight="1" x14ac:dyDescent="0.35">
      <c r="B37" s="237" t="s">
        <v>509</v>
      </c>
      <c r="C37" s="239" t="s">
        <v>510</v>
      </c>
      <c r="D37" s="239" t="s">
        <v>504</v>
      </c>
      <c r="E37" s="239" t="s">
        <v>500</v>
      </c>
      <c r="F37" s="216" t="s">
        <v>511</v>
      </c>
      <c r="G37" s="215"/>
    </row>
    <row r="38" spans="2:7" ht="56" x14ac:dyDescent="0.35">
      <c r="B38" s="237" t="s">
        <v>512</v>
      </c>
      <c r="C38" s="239" t="s">
        <v>513</v>
      </c>
      <c r="D38" s="239" t="s">
        <v>504</v>
      </c>
      <c r="E38" s="239" t="s">
        <v>500</v>
      </c>
      <c r="F38" s="216" t="s">
        <v>514</v>
      </c>
      <c r="G38" s="215"/>
    </row>
    <row r="39" spans="2:7" ht="192.65" customHeight="1" x14ac:dyDescent="0.35">
      <c r="B39" s="237" t="s">
        <v>515</v>
      </c>
      <c r="C39" s="239" t="s">
        <v>516</v>
      </c>
      <c r="D39" s="239" t="s">
        <v>517</v>
      </c>
      <c r="E39" s="239" t="s">
        <v>500</v>
      </c>
      <c r="F39" s="216" t="s">
        <v>518</v>
      </c>
      <c r="G39" s="215"/>
    </row>
    <row r="40" spans="2:7" ht="70" x14ac:dyDescent="0.35">
      <c r="B40" s="237" t="s">
        <v>519</v>
      </c>
      <c r="C40" s="239" t="s">
        <v>520</v>
      </c>
      <c r="D40" s="239" t="s">
        <v>517</v>
      </c>
      <c r="E40" s="239" t="s">
        <v>500</v>
      </c>
      <c r="F40" s="216" t="s">
        <v>521</v>
      </c>
      <c r="G40" s="215"/>
    </row>
    <row r="41" spans="2:7" ht="174" x14ac:dyDescent="0.35">
      <c r="B41" s="237" t="s">
        <v>522</v>
      </c>
      <c r="C41" s="239" t="s">
        <v>523</v>
      </c>
      <c r="D41" s="239" t="s">
        <v>524</v>
      </c>
      <c r="E41" s="239" t="s">
        <v>500</v>
      </c>
      <c r="F41" s="216" t="s">
        <v>525</v>
      </c>
      <c r="G41" s="215"/>
    </row>
    <row r="42" spans="2:7" ht="220.75" customHeight="1" x14ac:dyDescent="0.35">
      <c r="B42" s="237" t="s">
        <v>526</v>
      </c>
      <c r="C42" s="239" t="s">
        <v>527</v>
      </c>
      <c r="D42" s="239" t="s">
        <v>528</v>
      </c>
      <c r="E42" s="239" t="s">
        <v>500</v>
      </c>
      <c r="F42" s="216" t="s">
        <v>529</v>
      </c>
      <c r="G42" s="215"/>
    </row>
    <row r="43" spans="2:7" ht="56" x14ac:dyDescent="0.35">
      <c r="B43" s="237" t="s">
        <v>530</v>
      </c>
      <c r="C43" s="239" t="s">
        <v>531</v>
      </c>
      <c r="D43" s="239" t="s">
        <v>504</v>
      </c>
      <c r="E43" s="239" t="s">
        <v>500</v>
      </c>
      <c r="F43" s="216" t="s">
        <v>532</v>
      </c>
      <c r="G43" s="215"/>
    </row>
    <row r="44" spans="2:7" ht="236.4" customHeight="1" x14ac:dyDescent="0.35">
      <c r="B44" s="237" t="s">
        <v>533</v>
      </c>
      <c r="C44" s="239" t="s">
        <v>534</v>
      </c>
      <c r="D44" s="239" t="s">
        <v>535</v>
      </c>
      <c r="E44" s="239" t="s">
        <v>500</v>
      </c>
      <c r="F44" s="216" t="s">
        <v>536</v>
      </c>
      <c r="G44" s="215"/>
    </row>
    <row r="45" spans="2:7" ht="61.25" customHeight="1" x14ac:dyDescent="0.35">
      <c r="B45" s="237" t="s">
        <v>537</v>
      </c>
      <c r="C45" s="239" t="s">
        <v>538</v>
      </c>
      <c r="D45" s="239" t="s">
        <v>517</v>
      </c>
      <c r="E45" s="239" t="s">
        <v>500</v>
      </c>
      <c r="F45" s="216" t="s">
        <v>539</v>
      </c>
      <c r="G45" s="215"/>
    </row>
    <row r="46" spans="2:7" ht="209.4" customHeight="1" x14ac:dyDescent="0.35">
      <c r="B46" s="237" t="s">
        <v>540</v>
      </c>
      <c r="C46" s="239" t="s">
        <v>541</v>
      </c>
      <c r="D46" s="239" t="s">
        <v>542</v>
      </c>
      <c r="E46" s="239" t="s">
        <v>500</v>
      </c>
      <c r="F46" s="216" t="s">
        <v>543</v>
      </c>
      <c r="G46" s="215" t="s">
        <v>544</v>
      </c>
    </row>
    <row r="47" spans="2:7" ht="206.4" customHeight="1" x14ac:dyDescent="0.35">
      <c r="B47" s="237" t="s">
        <v>545</v>
      </c>
      <c r="C47" s="239" t="s">
        <v>546</v>
      </c>
      <c r="D47" s="239" t="s">
        <v>542</v>
      </c>
      <c r="E47" s="239" t="s">
        <v>500</v>
      </c>
      <c r="F47" s="216" t="s">
        <v>547</v>
      </c>
      <c r="G47" s="215" t="s">
        <v>544</v>
      </c>
    </row>
    <row r="48" spans="2:7" ht="205.75" customHeight="1" x14ac:dyDescent="0.35">
      <c r="B48" s="237" t="s">
        <v>548</v>
      </c>
      <c r="C48" s="239" t="s">
        <v>549</v>
      </c>
      <c r="D48" s="239" t="s">
        <v>542</v>
      </c>
      <c r="E48" s="239" t="s">
        <v>500</v>
      </c>
      <c r="F48" s="216" t="s">
        <v>550</v>
      </c>
      <c r="G48" s="215" t="s">
        <v>544</v>
      </c>
    </row>
    <row r="49" spans="2:7" ht="205.25" customHeight="1" x14ac:dyDescent="0.35">
      <c r="B49" s="237" t="s">
        <v>551</v>
      </c>
      <c r="C49" s="239" t="s">
        <v>552</v>
      </c>
      <c r="D49" s="239" t="s">
        <v>542</v>
      </c>
      <c r="E49" s="239" t="s">
        <v>500</v>
      </c>
      <c r="F49" s="216" t="s">
        <v>553</v>
      </c>
      <c r="G49" s="215" t="s">
        <v>544</v>
      </c>
    </row>
    <row r="50" spans="2:7" ht="81" customHeight="1" x14ac:dyDescent="0.35">
      <c r="B50" s="237" t="s">
        <v>554</v>
      </c>
      <c r="C50" s="239" t="s">
        <v>555</v>
      </c>
      <c r="D50" s="239" t="s">
        <v>542</v>
      </c>
      <c r="E50" s="239" t="s">
        <v>500</v>
      </c>
      <c r="F50" s="216" t="s">
        <v>556</v>
      </c>
      <c r="G50" s="215" t="s">
        <v>544</v>
      </c>
    </row>
    <row r="51" spans="2:7" ht="188.5" x14ac:dyDescent="0.35">
      <c r="B51" s="237" t="s">
        <v>557</v>
      </c>
      <c r="C51" s="239" t="s">
        <v>558</v>
      </c>
      <c r="D51" s="239" t="s">
        <v>499</v>
      </c>
      <c r="E51" s="239" t="s">
        <v>500</v>
      </c>
      <c r="F51" s="216" t="s">
        <v>559</v>
      </c>
      <c r="G51" s="215"/>
    </row>
    <row r="52" spans="2:7" ht="218.4" customHeight="1" x14ac:dyDescent="0.35">
      <c r="B52" s="237" t="s">
        <v>560</v>
      </c>
      <c r="C52" s="239" t="s">
        <v>561</v>
      </c>
      <c r="D52" s="239" t="s">
        <v>504</v>
      </c>
      <c r="E52" s="239" t="s">
        <v>500</v>
      </c>
      <c r="F52" s="216" t="s">
        <v>562</v>
      </c>
      <c r="G52" s="215"/>
    </row>
    <row r="53" spans="2:7" ht="49.25" customHeight="1" x14ac:dyDescent="0.35">
      <c r="B53" s="237" t="s">
        <v>563</v>
      </c>
      <c r="C53" s="239"/>
      <c r="D53" s="239" t="s">
        <v>504</v>
      </c>
      <c r="E53" s="239" t="s">
        <v>500</v>
      </c>
      <c r="F53" s="216" t="s">
        <v>564</v>
      </c>
      <c r="G53" s="215"/>
    </row>
    <row r="54" spans="2:7" ht="235.25" customHeight="1" x14ac:dyDescent="0.35">
      <c r="B54" s="237" t="s">
        <v>565</v>
      </c>
      <c r="C54" s="239" t="s">
        <v>566</v>
      </c>
      <c r="D54" s="239" t="s">
        <v>517</v>
      </c>
      <c r="E54" s="239" t="s">
        <v>500</v>
      </c>
      <c r="F54" s="216" t="s">
        <v>567</v>
      </c>
      <c r="G54" s="215"/>
    </row>
    <row r="55" spans="2:7" ht="75.650000000000006" customHeight="1" x14ac:dyDescent="0.35">
      <c r="B55" s="237" t="s">
        <v>568</v>
      </c>
      <c r="C55" s="239" t="s">
        <v>569</v>
      </c>
      <c r="D55" s="239" t="s">
        <v>517</v>
      </c>
      <c r="E55" s="239" t="s">
        <v>500</v>
      </c>
      <c r="F55" s="216" t="s">
        <v>570</v>
      </c>
      <c r="G55" s="215"/>
    </row>
    <row r="56" spans="2:7" ht="174" x14ac:dyDescent="0.35">
      <c r="B56" s="237" t="s">
        <v>571</v>
      </c>
      <c r="C56" s="239" t="s">
        <v>572</v>
      </c>
      <c r="D56" s="239" t="s">
        <v>499</v>
      </c>
      <c r="E56" s="239" t="s">
        <v>500</v>
      </c>
      <c r="F56" s="216" t="s">
        <v>573</v>
      </c>
      <c r="G56" s="215"/>
    </row>
    <row r="57" spans="2:7" ht="218.4" customHeight="1" x14ac:dyDescent="0.35">
      <c r="B57" s="237" t="s">
        <v>574</v>
      </c>
      <c r="C57" s="239" t="s">
        <v>575</v>
      </c>
      <c r="D57" s="239" t="s">
        <v>504</v>
      </c>
      <c r="E57" s="239" t="s">
        <v>500</v>
      </c>
      <c r="F57" s="216" t="s">
        <v>576</v>
      </c>
      <c r="G57" s="215"/>
    </row>
    <row r="58" spans="2:7" ht="48" customHeight="1" x14ac:dyDescent="0.35">
      <c r="B58" s="237" t="s">
        <v>577</v>
      </c>
      <c r="C58" s="239"/>
      <c r="D58" s="239" t="s">
        <v>504</v>
      </c>
      <c r="E58" s="239" t="s">
        <v>500</v>
      </c>
      <c r="F58" s="216" t="s">
        <v>578</v>
      </c>
      <c r="G58" s="215"/>
    </row>
    <row r="59" spans="2:7" ht="251.4" customHeight="1" x14ac:dyDescent="0.35">
      <c r="B59" s="237" t="s">
        <v>579</v>
      </c>
      <c r="C59" s="239" t="s">
        <v>580</v>
      </c>
      <c r="D59" s="239" t="s">
        <v>517</v>
      </c>
      <c r="E59" s="239" t="s">
        <v>500</v>
      </c>
      <c r="F59" s="216" t="s">
        <v>581</v>
      </c>
      <c r="G59" s="215"/>
    </row>
    <row r="60" spans="2:7" ht="75.650000000000006" customHeight="1" x14ac:dyDescent="0.35">
      <c r="B60" s="237" t="s">
        <v>582</v>
      </c>
      <c r="C60" s="239" t="s">
        <v>583</v>
      </c>
      <c r="D60" s="239" t="s">
        <v>517</v>
      </c>
      <c r="E60" s="239" t="s">
        <v>500</v>
      </c>
      <c r="F60" s="216" t="s">
        <v>584</v>
      </c>
      <c r="G60" s="215"/>
    </row>
    <row r="61" spans="2:7" ht="174" x14ac:dyDescent="0.35">
      <c r="B61" s="237" t="s">
        <v>585</v>
      </c>
      <c r="C61" s="239" t="s">
        <v>586</v>
      </c>
      <c r="D61" s="239" t="s">
        <v>499</v>
      </c>
      <c r="E61" s="239" t="s">
        <v>500</v>
      </c>
      <c r="F61" s="216" t="s">
        <v>587</v>
      </c>
      <c r="G61" s="215"/>
    </row>
    <row r="62" spans="2:7" ht="251.4" customHeight="1" x14ac:dyDescent="0.35">
      <c r="B62" s="237" t="s">
        <v>588</v>
      </c>
      <c r="C62" s="239" t="s">
        <v>589</v>
      </c>
      <c r="D62" s="239" t="s">
        <v>504</v>
      </c>
      <c r="E62" s="239" t="s">
        <v>500</v>
      </c>
      <c r="F62" s="216" t="s">
        <v>590</v>
      </c>
      <c r="G62" s="215"/>
    </row>
    <row r="63" spans="2:7" ht="56" x14ac:dyDescent="0.35">
      <c r="B63" s="237" t="s">
        <v>591</v>
      </c>
      <c r="C63" s="239" t="s">
        <v>592</v>
      </c>
      <c r="D63" s="239" t="s">
        <v>504</v>
      </c>
      <c r="E63" s="239" t="s">
        <v>500</v>
      </c>
      <c r="F63" s="216" t="s">
        <v>593</v>
      </c>
      <c r="G63" s="215"/>
    </row>
    <row r="64" spans="2:7" ht="248.4" customHeight="1" x14ac:dyDescent="0.35">
      <c r="B64" s="237" t="s">
        <v>594</v>
      </c>
      <c r="C64" s="239" t="s">
        <v>595</v>
      </c>
      <c r="D64" s="239" t="s">
        <v>517</v>
      </c>
      <c r="E64" s="239" t="s">
        <v>500</v>
      </c>
      <c r="F64" s="216" t="s">
        <v>596</v>
      </c>
      <c r="G64" s="215"/>
    </row>
    <row r="65" spans="2:7" ht="88.75" customHeight="1" x14ac:dyDescent="0.35">
      <c r="B65" s="237" t="s">
        <v>597</v>
      </c>
      <c r="C65" s="239" t="s">
        <v>598</v>
      </c>
      <c r="D65" s="239" t="s">
        <v>517</v>
      </c>
      <c r="E65" s="239" t="s">
        <v>500</v>
      </c>
      <c r="F65" s="216" t="s">
        <v>599</v>
      </c>
      <c r="G65" s="215"/>
    </row>
    <row r="66" spans="2:7" ht="72.5" x14ac:dyDescent="0.35">
      <c r="B66" s="237" t="s">
        <v>600</v>
      </c>
      <c r="C66" s="239" t="s">
        <v>601</v>
      </c>
      <c r="D66" s="239" t="s">
        <v>602</v>
      </c>
      <c r="E66" s="239" t="s">
        <v>603</v>
      </c>
      <c r="F66" s="216" t="s">
        <v>604</v>
      </c>
      <c r="G66" s="215"/>
    </row>
    <row r="67" spans="2:7" ht="122.4" customHeight="1" x14ac:dyDescent="0.35">
      <c r="B67" s="237" t="s">
        <v>605</v>
      </c>
      <c r="C67" s="239" t="s">
        <v>606</v>
      </c>
      <c r="D67" s="239" t="s">
        <v>607</v>
      </c>
      <c r="E67" s="239" t="s">
        <v>603</v>
      </c>
      <c r="F67" s="216" t="s">
        <v>608</v>
      </c>
      <c r="G67" s="215"/>
    </row>
    <row r="68" spans="2:7" ht="106.75" customHeight="1" x14ac:dyDescent="0.35">
      <c r="B68" s="237" t="s">
        <v>609</v>
      </c>
      <c r="C68" s="239" t="s">
        <v>610</v>
      </c>
      <c r="D68" s="239" t="s">
        <v>607</v>
      </c>
      <c r="E68" s="239" t="s">
        <v>603</v>
      </c>
      <c r="F68" s="216" t="s">
        <v>611</v>
      </c>
      <c r="G68" s="215"/>
    </row>
    <row r="69" spans="2:7" ht="106.25" customHeight="1" x14ac:dyDescent="0.35">
      <c r="B69" s="237" t="s">
        <v>612</v>
      </c>
      <c r="C69" s="239"/>
      <c r="D69" s="239" t="s">
        <v>607</v>
      </c>
      <c r="E69" s="239" t="s">
        <v>603</v>
      </c>
      <c r="F69" s="216" t="s">
        <v>613</v>
      </c>
      <c r="G69" s="215"/>
    </row>
    <row r="70" spans="2:7" ht="108" customHeight="1" x14ac:dyDescent="0.35">
      <c r="B70" s="237" t="s">
        <v>614</v>
      </c>
      <c r="C70" s="239"/>
      <c r="D70" s="239" t="s">
        <v>607</v>
      </c>
      <c r="E70" s="239" t="s">
        <v>603</v>
      </c>
      <c r="F70" s="216" t="s">
        <v>615</v>
      </c>
      <c r="G70" s="215"/>
    </row>
    <row r="71" spans="2:7" ht="58" x14ac:dyDescent="0.35">
      <c r="B71" s="237" t="s">
        <v>616</v>
      </c>
      <c r="C71" s="239"/>
      <c r="D71" s="239" t="s">
        <v>607</v>
      </c>
      <c r="E71" s="239" t="s">
        <v>603</v>
      </c>
      <c r="F71" s="216" t="s">
        <v>617</v>
      </c>
      <c r="G71" s="215"/>
    </row>
    <row r="72" spans="2:7" ht="106.25" customHeight="1" x14ac:dyDescent="0.35">
      <c r="B72" s="237" t="s">
        <v>618</v>
      </c>
      <c r="C72" s="239"/>
      <c r="D72" s="239" t="s">
        <v>607</v>
      </c>
      <c r="E72" s="239" t="s">
        <v>603</v>
      </c>
      <c r="F72" s="216" t="s">
        <v>619</v>
      </c>
      <c r="G72" s="215"/>
    </row>
    <row r="73" spans="2:7" ht="108" customHeight="1" x14ac:dyDescent="0.35">
      <c r="B73" s="237" t="s">
        <v>620</v>
      </c>
      <c r="C73" s="239"/>
      <c r="D73" s="239" t="s">
        <v>607</v>
      </c>
      <c r="E73" s="239" t="s">
        <v>603</v>
      </c>
      <c r="F73" s="216" t="s">
        <v>621</v>
      </c>
      <c r="G73" s="215"/>
    </row>
    <row r="74" spans="2:7" ht="58" x14ac:dyDescent="0.35">
      <c r="B74" s="237" t="s">
        <v>622</v>
      </c>
      <c r="C74" s="239"/>
      <c r="D74" s="239" t="s">
        <v>607</v>
      </c>
      <c r="E74" s="239" t="s">
        <v>603</v>
      </c>
      <c r="F74" s="216" t="s">
        <v>623</v>
      </c>
      <c r="G74" s="215"/>
    </row>
    <row r="75" spans="2:7" ht="106.75" customHeight="1" x14ac:dyDescent="0.35">
      <c r="B75" s="237" t="s">
        <v>624</v>
      </c>
      <c r="C75" s="239"/>
      <c r="D75" s="239" t="s">
        <v>607</v>
      </c>
      <c r="E75" s="239" t="s">
        <v>603</v>
      </c>
      <c r="F75" s="216" t="s">
        <v>625</v>
      </c>
      <c r="G75" s="215"/>
    </row>
    <row r="76" spans="2:7" ht="108" customHeight="1" x14ac:dyDescent="0.35">
      <c r="B76" s="237" t="s">
        <v>626</v>
      </c>
      <c r="C76" s="239"/>
      <c r="D76" s="239" t="s">
        <v>607</v>
      </c>
      <c r="E76" s="239" t="s">
        <v>603</v>
      </c>
      <c r="F76" s="216" t="s">
        <v>627</v>
      </c>
      <c r="G76" s="215"/>
    </row>
    <row r="77" spans="2:7" ht="58" x14ac:dyDescent="0.35">
      <c r="B77" s="237" t="s">
        <v>628</v>
      </c>
      <c r="C77" s="239"/>
      <c r="D77" s="239" t="s">
        <v>607</v>
      </c>
      <c r="E77" s="239" t="s">
        <v>603</v>
      </c>
      <c r="F77" s="216" t="s">
        <v>629</v>
      </c>
      <c r="G77" s="215"/>
    </row>
    <row r="78" spans="2:7" ht="109.25" customHeight="1" x14ac:dyDescent="0.35">
      <c r="B78" s="237" t="s">
        <v>630</v>
      </c>
      <c r="C78" s="239"/>
      <c r="D78" s="239" t="s">
        <v>607</v>
      </c>
      <c r="E78" s="239" t="s">
        <v>603</v>
      </c>
      <c r="F78" s="216" t="s">
        <v>631</v>
      </c>
      <c r="G78" s="215"/>
    </row>
    <row r="79" spans="2:7" ht="106.75" customHeight="1" x14ac:dyDescent="0.35">
      <c r="B79" s="237" t="s">
        <v>632</v>
      </c>
      <c r="C79" s="239"/>
      <c r="D79" s="239" t="s">
        <v>607</v>
      </c>
      <c r="E79" s="239" t="s">
        <v>603</v>
      </c>
      <c r="F79" s="216" t="s">
        <v>633</v>
      </c>
      <c r="G79" s="215"/>
    </row>
    <row r="80" spans="2:7" ht="58" x14ac:dyDescent="0.35">
      <c r="B80" s="237" t="s">
        <v>634</v>
      </c>
      <c r="C80" s="239"/>
      <c r="D80" s="239" t="s">
        <v>607</v>
      </c>
      <c r="E80" s="239" t="s">
        <v>603</v>
      </c>
      <c r="F80" s="216" t="s">
        <v>635</v>
      </c>
      <c r="G80" s="215"/>
    </row>
    <row r="81" spans="2:7" ht="107.4" customHeight="1" x14ac:dyDescent="0.35">
      <c r="B81" s="237" t="s">
        <v>636</v>
      </c>
      <c r="C81" s="239"/>
      <c r="D81" s="239" t="s">
        <v>607</v>
      </c>
      <c r="E81" s="239" t="s">
        <v>603</v>
      </c>
      <c r="F81" s="216" t="s">
        <v>637</v>
      </c>
      <c r="G81" s="215"/>
    </row>
    <row r="82" spans="2:7" ht="105" customHeight="1" x14ac:dyDescent="0.35">
      <c r="B82" s="237" t="s">
        <v>638</v>
      </c>
      <c r="C82" s="239"/>
      <c r="D82" s="239" t="s">
        <v>607</v>
      </c>
      <c r="E82" s="239" t="s">
        <v>603</v>
      </c>
      <c r="F82" s="216" t="s">
        <v>639</v>
      </c>
      <c r="G82" s="215"/>
    </row>
    <row r="83" spans="2:7" ht="58" x14ac:dyDescent="0.35">
      <c r="B83" s="237" t="s">
        <v>640</v>
      </c>
      <c r="C83" s="239"/>
      <c r="D83" s="239" t="s">
        <v>607</v>
      </c>
      <c r="E83" s="239" t="s">
        <v>603</v>
      </c>
      <c r="F83" s="216" t="s">
        <v>641</v>
      </c>
      <c r="G83" s="215"/>
    </row>
    <row r="84" spans="2:7" ht="133.75" customHeight="1" x14ac:dyDescent="0.35">
      <c r="B84" s="237" t="s">
        <v>642</v>
      </c>
      <c r="C84" s="239"/>
      <c r="D84" s="239" t="s">
        <v>607</v>
      </c>
      <c r="E84" s="239" t="s">
        <v>603</v>
      </c>
      <c r="F84" s="216" t="s">
        <v>643</v>
      </c>
      <c r="G84" s="215"/>
    </row>
    <row r="85" spans="2:7" ht="109.25" customHeight="1" x14ac:dyDescent="0.35">
      <c r="B85" s="237" t="s">
        <v>644</v>
      </c>
      <c r="C85" s="239"/>
      <c r="D85" s="239" t="s">
        <v>607</v>
      </c>
      <c r="E85" s="239" t="s">
        <v>603</v>
      </c>
      <c r="F85" s="216" t="s">
        <v>645</v>
      </c>
      <c r="G85" s="215"/>
    </row>
    <row r="86" spans="2:7" ht="58" x14ac:dyDescent="0.35">
      <c r="B86" s="237" t="s">
        <v>646</v>
      </c>
      <c r="C86" s="239"/>
      <c r="D86" s="239" t="s">
        <v>607</v>
      </c>
      <c r="E86" s="239" t="s">
        <v>603</v>
      </c>
      <c r="F86" s="216" t="s">
        <v>647</v>
      </c>
      <c r="G86" s="215"/>
    </row>
    <row r="88" spans="2:7" x14ac:dyDescent="0.35">
      <c r="B88" s="246" t="s">
        <v>923</v>
      </c>
      <c r="C88" s="246"/>
      <c r="D88" s="246"/>
    </row>
  </sheetData>
  <autoFilter ref="B33:G86" xr:uid="{B8BEAA27-1DA3-4556-B307-8A935CE014A2}"/>
  <mergeCells count="14">
    <mergeCell ref="B88:D88"/>
    <mergeCell ref="B7:C7"/>
    <mergeCell ref="B13:E13"/>
    <mergeCell ref="B32:E32"/>
    <mergeCell ref="B8:E8"/>
    <mergeCell ref="B9:E9"/>
    <mergeCell ref="B10:E10"/>
    <mergeCell ref="B11:E11"/>
    <mergeCell ref="B12:E12"/>
    <mergeCell ref="B20:E20"/>
    <mergeCell ref="B14:E14"/>
    <mergeCell ref="B15:E15"/>
    <mergeCell ref="B16:E16"/>
    <mergeCell ref="B17:E17"/>
  </mergeCells>
  <hyperlinks>
    <hyperlink ref="B14:D14" location="'Monthly Data Measures'!A37" display="Table 2: Dimensions: The definition of each dimension within this publication." xr:uid="{9B050982-6EFB-4B83-9847-DC233E4055D6}"/>
    <hyperlink ref="B14:E14" location="'Monthly HV Data Measures'!A31" display="Table 2b: Dimensions: The definition of each dimension within this publication." xr:uid="{9BBDAC27-3FA2-4292-B60A-0A6CFC4DD81A}"/>
    <hyperlink ref="B16:E16" location="'Table 1c Counts'!A10" display="Table 1c: Counts: A definition of each different type of count used in this publication" xr:uid="{8943F7EB-2BBE-4874-B57C-30E4A08B4526}"/>
    <hyperlink ref="B7" location="Cover!A1" display="Back to contents" xr:uid="{0FB9D61F-68C6-4315-BE71-05E55C8563FB}"/>
    <hyperlink ref="B13:E13" location="'Monthly HV Data Measures'!A22" display="Table 2: Fields: A broad description of each field within the CSDS HV file" xr:uid="{27C27932-31B8-462B-A50E-D229AA27266E}"/>
  </hyperlink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8594-0378-46C1-80D8-F536F292003D}">
  <dimension ref="B1:O50"/>
  <sheetViews>
    <sheetView showGridLines="0" zoomScaleNormal="100" workbookViewId="0">
      <pane ySplit="6" topLeftCell="A7" activePane="bottomLeft" state="frozen"/>
      <selection pane="bottomLeft"/>
    </sheetView>
  </sheetViews>
  <sheetFormatPr defaultColWidth="13.90625" defaultRowHeight="14" x14ac:dyDescent="0.35"/>
  <cols>
    <col min="1" max="1" width="2.54296875" style="3" customWidth="1"/>
    <col min="2" max="16384" width="13.90625" style="3"/>
  </cols>
  <sheetData>
    <row r="1" spans="2:12" s="1" customFormat="1" x14ac:dyDescent="0.35">
      <c r="B1" s="6"/>
      <c r="C1" s="6"/>
      <c r="D1" s="6"/>
      <c r="E1" s="6"/>
      <c r="F1" s="6"/>
      <c r="G1" s="6"/>
      <c r="H1" s="6"/>
      <c r="I1" s="6"/>
      <c r="J1" s="6"/>
      <c r="K1" s="6"/>
      <c r="L1" s="6"/>
    </row>
    <row r="2" spans="2:12" s="1" customFormat="1" x14ac:dyDescent="0.35">
      <c r="B2" s="6"/>
      <c r="C2" s="6"/>
      <c r="D2" s="6"/>
      <c r="E2" s="6"/>
      <c r="F2" s="6"/>
      <c r="G2" s="6"/>
      <c r="H2" s="6"/>
      <c r="I2" s="6"/>
      <c r="J2" s="6"/>
      <c r="K2" s="6"/>
      <c r="L2" s="6"/>
    </row>
    <row r="3" spans="2:12" s="1" customFormat="1" x14ac:dyDescent="0.35">
      <c r="B3" s="6"/>
      <c r="C3" s="6"/>
      <c r="D3" s="6"/>
      <c r="E3" s="6"/>
      <c r="F3" s="6"/>
      <c r="G3" s="6"/>
      <c r="H3" s="6"/>
      <c r="I3" s="6"/>
      <c r="J3" s="6"/>
      <c r="K3" s="6"/>
      <c r="L3" s="6"/>
    </row>
    <row r="4" spans="2:12" s="1" customFormat="1" x14ac:dyDescent="0.35">
      <c r="B4" s="259" t="s">
        <v>24</v>
      </c>
      <c r="C4" s="259"/>
      <c r="D4" s="6"/>
      <c r="E4" s="6"/>
      <c r="F4" s="6"/>
      <c r="G4" s="6"/>
      <c r="H4" s="6"/>
      <c r="I4" s="6"/>
      <c r="J4" s="6"/>
      <c r="K4" s="6"/>
      <c r="L4" s="6"/>
    </row>
    <row r="5" spans="2:12" s="1" customFormat="1" ht="33.75" customHeight="1" x14ac:dyDescent="0.35">
      <c r="B5" s="4" t="str">
        <f>Cover!B7</f>
        <v>Community Services Statistics</v>
      </c>
      <c r="C5" s="25"/>
      <c r="D5" s="25"/>
      <c r="E5" s="25"/>
      <c r="F5" s="25"/>
      <c r="G5" s="6"/>
      <c r="H5" s="6"/>
      <c r="I5" s="6"/>
      <c r="J5" s="6"/>
      <c r="K5" s="6"/>
      <c r="L5" s="6"/>
    </row>
    <row r="6" spans="2:12" s="1" customFormat="1" ht="25.25" customHeight="1" x14ac:dyDescent="0.35">
      <c r="B6" s="253" t="s">
        <v>648</v>
      </c>
      <c r="C6" s="253"/>
      <c r="D6" s="253"/>
      <c r="E6" s="253"/>
      <c r="F6" s="253"/>
      <c r="G6" s="253"/>
      <c r="H6" s="6"/>
      <c r="I6" s="6"/>
      <c r="J6" s="6"/>
      <c r="K6" s="6"/>
      <c r="L6" s="6"/>
    </row>
    <row r="7" spans="2:12" s="1" customFormat="1" x14ac:dyDescent="0.35">
      <c r="B7" s="271"/>
      <c r="C7" s="271"/>
      <c r="D7" s="271"/>
      <c r="E7" s="271"/>
      <c r="F7" s="6"/>
      <c r="G7" s="6"/>
      <c r="H7" s="6"/>
      <c r="I7" s="6"/>
      <c r="J7" s="6"/>
      <c r="K7" s="6"/>
      <c r="L7" s="6"/>
    </row>
    <row r="8" spans="2:12" s="1" customFormat="1" ht="60.75" customHeight="1" x14ac:dyDescent="0.35">
      <c r="B8" s="272" t="s">
        <v>649</v>
      </c>
      <c r="C8" s="272"/>
      <c r="D8" s="272"/>
      <c r="E8" s="272"/>
      <c r="F8" s="272"/>
      <c r="G8" s="277"/>
      <c r="H8" s="277"/>
      <c r="I8" s="277"/>
      <c r="J8" s="277"/>
      <c r="K8" s="6"/>
      <c r="L8" s="6"/>
    </row>
    <row r="9" spans="2:12" x14ac:dyDescent="0.35">
      <c r="B9" s="28" t="s">
        <v>650</v>
      </c>
    </row>
    <row r="10" spans="2:12" x14ac:dyDescent="0.35">
      <c r="B10" s="28"/>
    </row>
    <row r="11" spans="2:12" x14ac:dyDescent="0.35">
      <c r="B11" s="269" t="s">
        <v>408</v>
      </c>
      <c r="C11" s="278"/>
      <c r="D11" s="269" t="s">
        <v>409</v>
      </c>
      <c r="E11" s="278"/>
      <c r="F11" s="278"/>
      <c r="G11" s="278"/>
      <c r="H11" s="278"/>
    </row>
    <row r="12" spans="2:12" ht="15.65" customHeight="1" x14ac:dyDescent="0.35">
      <c r="B12" s="274" t="s">
        <v>651</v>
      </c>
      <c r="C12" s="275"/>
      <c r="D12" s="274" t="s">
        <v>410</v>
      </c>
      <c r="E12" s="276"/>
      <c r="F12" s="276"/>
      <c r="G12" s="276"/>
      <c r="H12" s="276"/>
    </row>
    <row r="13" spans="2:12" ht="15.65" customHeight="1" x14ac:dyDescent="0.35">
      <c r="B13" s="274" t="s">
        <v>652</v>
      </c>
      <c r="C13" s="275"/>
      <c r="D13" s="274" t="s">
        <v>653</v>
      </c>
      <c r="E13" s="276"/>
      <c r="F13" s="276"/>
      <c r="G13" s="276"/>
      <c r="H13" s="276"/>
      <c r="L13" s="26"/>
    </row>
    <row r="14" spans="2:12" ht="15.65" customHeight="1" x14ac:dyDescent="0.35">
      <c r="B14" s="274" t="s">
        <v>654</v>
      </c>
      <c r="C14" s="275"/>
      <c r="D14" s="274" t="s">
        <v>412</v>
      </c>
      <c r="E14" s="276"/>
      <c r="F14" s="276"/>
      <c r="G14" s="276"/>
      <c r="H14" s="276"/>
      <c r="L14" s="26"/>
    </row>
    <row r="15" spans="2:12" ht="15.65" customHeight="1" x14ac:dyDescent="0.35">
      <c r="B15" s="274" t="s">
        <v>655</v>
      </c>
      <c r="C15" s="275"/>
      <c r="D15" s="274" t="s">
        <v>656</v>
      </c>
      <c r="E15" s="276"/>
      <c r="F15" s="276"/>
      <c r="G15" s="276"/>
      <c r="H15" s="276"/>
    </row>
    <row r="16" spans="2:12" ht="64.5" customHeight="1" x14ac:dyDescent="0.35">
      <c r="B16" s="274" t="s">
        <v>657</v>
      </c>
      <c r="C16" s="275"/>
      <c r="D16" s="274" t="s">
        <v>658</v>
      </c>
      <c r="E16" s="276"/>
      <c r="F16" s="276"/>
      <c r="G16" s="276"/>
      <c r="H16" s="276"/>
      <c r="L16" s="26"/>
    </row>
    <row r="17" spans="2:15" ht="15.65" customHeight="1" x14ac:dyDescent="0.35">
      <c r="B17" s="274" t="s">
        <v>659</v>
      </c>
      <c r="C17" s="275"/>
      <c r="D17" s="274" t="s">
        <v>660</v>
      </c>
      <c r="E17" s="276"/>
      <c r="F17" s="276"/>
      <c r="G17" s="276"/>
      <c r="H17" s="276"/>
    </row>
    <row r="18" spans="2:15" ht="15.65" customHeight="1" x14ac:dyDescent="0.35">
      <c r="B18" s="274" t="s">
        <v>661</v>
      </c>
      <c r="C18" s="275"/>
      <c r="D18" s="274" t="s">
        <v>662</v>
      </c>
      <c r="E18" s="276"/>
      <c r="F18" s="276"/>
      <c r="G18" s="276"/>
      <c r="H18" s="276"/>
    </row>
    <row r="19" spans="2:15" ht="90.65" customHeight="1" x14ac:dyDescent="0.35">
      <c r="B19" s="284" t="s">
        <v>663</v>
      </c>
      <c r="C19" s="285"/>
      <c r="D19" s="279" t="s">
        <v>664</v>
      </c>
      <c r="E19" s="280"/>
      <c r="F19" s="280"/>
      <c r="G19" s="280"/>
      <c r="H19" s="280"/>
    </row>
    <row r="20" spans="2:15" ht="35.25" customHeight="1" x14ac:dyDescent="0.35">
      <c r="B20" s="286"/>
      <c r="C20" s="287"/>
      <c r="D20" s="281" t="s">
        <v>11</v>
      </c>
      <c r="E20" s="282"/>
      <c r="F20" s="282"/>
      <c r="G20" s="282"/>
      <c r="H20" s="283"/>
    </row>
    <row r="21" spans="2:15" ht="34.5" customHeight="1" x14ac:dyDescent="0.35">
      <c r="B21" s="274" t="s">
        <v>665</v>
      </c>
      <c r="C21" s="275"/>
      <c r="D21" s="274" t="s">
        <v>666</v>
      </c>
      <c r="E21" s="276"/>
      <c r="F21" s="276"/>
      <c r="G21" s="276"/>
      <c r="H21" s="276"/>
    </row>
    <row r="22" spans="2:15" ht="15.65" customHeight="1" x14ac:dyDescent="0.35">
      <c r="B22" s="274" t="s">
        <v>667</v>
      </c>
      <c r="C22" s="275"/>
      <c r="D22" s="274" t="s">
        <v>668</v>
      </c>
      <c r="E22" s="276"/>
      <c r="F22" s="276"/>
      <c r="G22" s="276"/>
      <c r="H22" s="276"/>
    </row>
    <row r="23" spans="2:15" ht="15.65" customHeight="1" x14ac:dyDescent="0.35">
      <c r="B23" s="274" t="s">
        <v>669</v>
      </c>
      <c r="C23" s="275"/>
      <c r="D23" s="274" t="s">
        <v>670</v>
      </c>
      <c r="E23" s="276"/>
      <c r="F23" s="276"/>
      <c r="G23" s="276"/>
      <c r="H23" s="276"/>
    </row>
    <row r="25" spans="2:15" x14ac:dyDescent="0.35">
      <c r="B25" s="28" t="s">
        <v>671</v>
      </c>
    </row>
    <row r="27" spans="2:15" ht="25" x14ac:dyDescent="0.35">
      <c r="B27" s="36" t="s">
        <v>672</v>
      </c>
      <c r="C27" s="36" t="s">
        <v>673</v>
      </c>
      <c r="D27" s="29" t="s">
        <v>654</v>
      </c>
      <c r="E27" s="29" t="s">
        <v>655</v>
      </c>
      <c r="F27" s="30"/>
      <c r="G27" s="30"/>
      <c r="H27" s="29" t="s">
        <v>657</v>
      </c>
      <c r="I27" s="29" t="s">
        <v>659</v>
      </c>
      <c r="J27" s="30"/>
      <c r="K27" s="38" t="s">
        <v>661</v>
      </c>
      <c r="L27" s="38" t="s">
        <v>663</v>
      </c>
      <c r="M27" s="38" t="s">
        <v>665</v>
      </c>
      <c r="N27" s="38" t="s">
        <v>667</v>
      </c>
      <c r="O27" s="38" t="s">
        <v>669</v>
      </c>
    </row>
    <row r="28" spans="2:15" x14ac:dyDescent="0.35">
      <c r="B28" s="30"/>
      <c r="C28" s="30"/>
      <c r="D28" s="30"/>
      <c r="E28" s="30"/>
      <c r="F28" s="30"/>
      <c r="G28" s="30"/>
      <c r="H28" s="30"/>
      <c r="I28" s="30"/>
      <c r="J28" s="30"/>
      <c r="K28" s="30"/>
      <c r="L28" s="30"/>
      <c r="M28" s="30"/>
      <c r="N28" s="30"/>
      <c r="O28" s="30"/>
    </row>
    <row r="29" spans="2:15" x14ac:dyDescent="0.35">
      <c r="B29" s="37" t="s">
        <v>674</v>
      </c>
      <c r="C29" s="30"/>
      <c r="D29" s="30"/>
      <c r="E29" s="30"/>
      <c r="F29" s="30"/>
      <c r="G29" s="30"/>
      <c r="H29" s="30"/>
      <c r="I29" s="30"/>
      <c r="J29" s="30"/>
      <c r="K29" s="30"/>
      <c r="L29" s="30"/>
      <c r="M29" s="30"/>
      <c r="N29" s="30"/>
      <c r="O29" s="30"/>
    </row>
    <row r="30" spans="2:15" x14ac:dyDescent="0.35">
      <c r="B30" s="30"/>
      <c r="C30" s="30"/>
      <c r="D30" s="30"/>
      <c r="E30" s="30"/>
      <c r="F30" s="30"/>
      <c r="G30" s="30"/>
      <c r="H30" s="30"/>
      <c r="I30" s="30"/>
      <c r="J30" s="30"/>
      <c r="K30" s="30"/>
      <c r="L30" s="30"/>
      <c r="M30" s="30"/>
      <c r="N30" s="30"/>
      <c r="O30" s="30"/>
    </row>
    <row r="31" spans="2:15" x14ac:dyDescent="0.35">
      <c r="B31" s="31">
        <v>44013</v>
      </c>
      <c r="C31" s="31">
        <v>44043</v>
      </c>
      <c r="D31" s="40" t="s">
        <v>675</v>
      </c>
      <c r="E31" s="33" t="s">
        <v>676</v>
      </c>
      <c r="F31" s="34"/>
      <c r="G31" s="35"/>
      <c r="H31" s="32" t="s">
        <v>676</v>
      </c>
      <c r="I31" s="33" t="s">
        <v>677</v>
      </c>
      <c r="J31" s="35"/>
      <c r="K31" s="43">
        <v>1</v>
      </c>
      <c r="L31" s="43">
        <v>0</v>
      </c>
      <c r="M31" s="43">
        <v>0</v>
      </c>
      <c r="N31" s="43">
        <v>0</v>
      </c>
      <c r="O31" s="43">
        <v>1</v>
      </c>
    </row>
    <row r="32" spans="2:15" x14ac:dyDescent="0.35">
      <c r="B32" s="30"/>
      <c r="C32" s="30"/>
      <c r="D32" s="41"/>
      <c r="E32" s="30"/>
      <c r="F32" s="30"/>
      <c r="G32" s="30"/>
      <c r="H32" s="30"/>
      <c r="I32" s="30"/>
      <c r="J32" s="30"/>
      <c r="K32" s="44"/>
      <c r="L32" s="44"/>
      <c r="M32" s="44"/>
      <c r="N32" s="44"/>
      <c r="O32" s="44"/>
    </row>
    <row r="33" spans="2:15" x14ac:dyDescent="0.35">
      <c r="B33" s="37" t="s">
        <v>678</v>
      </c>
      <c r="C33" s="30"/>
      <c r="D33" s="41"/>
      <c r="E33" s="30"/>
      <c r="F33" s="30"/>
      <c r="G33" s="30"/>
      <c r="H33" s="30"/>
      <c r="I33" s="30"/>
      <c r="J33" s="30"/>
      <c r="K33" s="44"/>
      <c r="L33" s="44"/>
      <c r="M33" s="44"/>
      <c r="N33" s="44"/>
      <c r="O33" s="44"/>
    </row>
    <row r="34" spans="2:15" x14ac:dyDescent="0.35">
      <c r="B34" s="30"/>
      <c r="C34" s="30"/>
      <c r="D34" s="41"/>
      <c r="E34" s="30"/>
      <c r="F34" s="30"/>
      <c r="G34" s="30"/>
      <c r="H34" s="30"/>
      <c r="I34" s="30"/>
      <c r="J34" s="30"/>
      <c r="K34" s="44"/>
      <c r="L34" s="44"/>
      <c r="M34" s="44"/>
      <c r="N34" s="44"/>
      <c r="O34" s="44"/>
    </row>
    <row r="35" spans="2:15" x14ac:dyDescent="0.35">
      <c r="B35" s="31">
        <v>44013</v>
      </c>
      <c r="C35" s="31">
        <v>44043</v>
      </c>
      <c r="D35" s="40" t="s">
        <v>675</v>
      </c>
      <c r="E35" s="33" t="s">
        <v>679</v>
      </c>
      <c r="F35" s="34"/>
      <c r="G35" s="35"/>
      <c r="H35" s="32" t="s">
        <v>462</v>
      </c>
      <c r="I35" s="33" t="s">
        <v>680</v>
      </c>
      <c r="J35" s="35"/>
      <c r="K35" s="43">
        <v>1</v>
      </c>
      <c r="L35" s="43">
        <v>0</v>
      </c>
      <c r="M35" s="43">
        <v>0</v>
      </c>
      <c r="N35" s="43">
        <v>0</v>
      </c>
      <c r="O35" s="43">
        <v>1</v>
      </c>
    </row>
    <row r="36" spans="2:15" x14ac:dyDescent="0.35">
      <c r="B36" s="31">
        <v>44013</v>
      </c>
      <c r="C36" s="31">
        <v>44043</v>
      </c>
      <c r="D36" s="40" t="s">
        <v>675</v>
      </c>
      <c r="E36" s="33" t="s">
        <v>681</v>
      </c>
      <c r="F36" s="34"/>
      <c r="G36" s="35"/>
      <c r="H36" s="32" t="s">
        <v>682</v>
      </c>
      <c r="I36" s="33" t="s">
        <v>683</v>
      </c>
      <c r="J36" s="35"/>
      <c r="K36" s="43">
        <v>1</v>
      </c>
      <c r="L36" s="43">
        <v>0</v>
      </c>
      <c r="M36" s="43">
        <v>0</v>
      </c>
      <c r="N36" s="43">
        <v>0</v>
      </c>
      <c r="O36" s="43">
        <v>1</v>
      </c>
    </row>
    <row r="37" spans="2:15" x14ac:dyDescent="0.35">
      <c r="B37" s="31">
        <v>44013</v>
      </c>
      <c r="C37" s="31">
        <v>44043</v>
      </c>
      <c r="D37" s="40" t="s">
        <v>675</v>
      </c>
      <c r="E37" s="33" t="s">
        <v>684</v>
      </c>
      <c r="F37" s="34"/>
      <c r="G37" s="35"/>
      <c r="H37" s="32" t="s">
        <v>685</v>
      </c>
      <c r="I37" s="33" t="s">
        <v>686</v>
      </c>
      <c r="J37" s="35"/>
      <c r="K37" s="43">
        <v>0</v>
      </c>
      <c r="L37" s="43">
        <v>0</v>
      </c>
      <c r="M37" s="43">
        <v>0</v>
      </c>
      <c r="N37" s="43">
        <v>1</v>
      </c>
      <c r="O37" s="43">
        <v>1</v>
      </c>
    </row>
    <row r="38" spans="2:15" x14ac:dyDescent="0.35">
      <c r="D38" s="42"/>
      <c r="K38" s="45"/>
      <c r="L38" s="45"/>
      <c r="M38" s="45"/>
      <c r="N38" s="45"/>
      <c r="O38" s="45"/>
    </row>
    <row r="39" spans="2:15" x14ac:dyDescent="0.35">
      <c r="B39" s="27" t="s">
        <v>687</v>
      </c>
      <c r="D39" s="42"/>
      <c r="K39" s="45"/>
      <c r="L39" s="45"/>
      <c r="M39" s="45"/>
      <c r="N39" s="45"/>
      <c r="O39" s="45"/>
    </row>
    <row r="40" spans="2:15" x14ac:dyDescent="0.35">
      <c r="D40" s="42"/>
      <c r="K40" s="45"/>
      <c r="L40" s="45"/>
      <c r="M40" s="45"/>
      <c r="N40" s="45"/>
      <c r="O40" s="45"/>
    </row>
    <row r="41" spans="2:15" x14ac:dyDescent="0.35">
      <c r="B41" s="31">
        <v>44013</v>
      </c>
      <c r="C41" s="31">
        <v>44043</v>
      </c>
      <c r="D41" s="40" t="s">
        <v>675</v>
      </c>
      <c r="E41" s="33" t="s">
        <v>688</v>
      </c>
      <c r="F41" s="34"/>
      <c r="G41" s="35"/>
      <c r="H41" s="32" t="s">
        <v>689</v>
      </c>
      <c r="I41" s="39" t="s">
        <v>690</v>
      </c>
      <c r="J41" s="35"/>
      <c r="K41" s="43">
        <v>1000</v>
      </c>
      <c r="L41" s="43">
        <v>0</v>
      </c>
      <c r="M41" s="43">
        <v>0</v>
      </c>
      <c r="N41" s="43">
        <v>0</v>
      </c>
      <c r="O41" s="43">
        <v>1000</v>
      </c>
    </row>
    <row r="42" spans="2:15" x14ac:dyDescent="0.35">
      <c r="B42" s="31">
        <v>44013</v>
      </c>
      <c r="C42" s="31">
        <v>44043</v>
      </c>
      <c r="D42" s="40" t="s">
        <v>675</v>
      </c>
      <c r="E42" s="33" t="s">
        <v>688</v>
      </c>
      <c r="F42" s="34"/>
      <c r="G42" s="35"/>
      <c r="H42" s="32" t="s">
        <v>691</v>
      </c>
      <c r="I42" s="39" t="s">
        <v>692</v>
      </c>
      <c r="J42" s="35"/>
      <c r="K42" s="43">
        <v>1000</v>
      </c>
      <c r="L42" s="43">
        <v>0</v>
      </c>
      <c r="M42" s="43">
        <v>0</v>
      </c>
      <c r="N42" s="43">
        <v>0</v>
      </c>
      <c r="O42" s="43">
        <v>1000</v>
      </c>
    </row>
    <row r="43" spans="2:15" x14ac:dyDescent="0.35">
      <c r="B43" s="31">
        <v>44013</v>
      </c>
      <c r="C43" s="31">
        <v>44043</v>
      </c>
      <c r="D43" s="40" t="s">
        <v>675</v>
      </c>
      <c r="E43" s="33" t="s">
        <v>688</v>
      </c>
      <c r="F43" s="34"/>
      <c r="G43" s="35"/>
      <c r="H43" s="32" t="s">
        <v>693</v>
      </c>
      <c r="I43" s="39" t="s">
        <v>694</v>
      </c>
      <c r="J43" s="35"/>
      <c r="K43" s="43">
        <v>800</v>
      </c>
      <c r="L43" s="43">
        <v>200</v>
      </c>
      <c r="M43" s="43">
        <v>0</v>
      </c>
      <c r="N43" s="43">
        <v>0</v>
      </c>
      <c r="O43" s="43">
        <v>1000</v>
      </c>
    </row>
    <row r="44" spans="2:15" x14ac:dyDescent="0.35">
      <c r="B44" s="31">
        <v>44013</v>
      </c>
      <c r="C44" s="31">
        <v>44043</v>
      </c>
      <c r="D44" s="40" t="s">
        <v>675</v>
      </c>
      <c r="E44" s="33" t="s">
        <v>688</v>
      </c>
      <c r="F44" s="34"/>
      <c r="G44" s="35"/>
      <c r="H44" s="32" t="s">
        <v>695</v>
      </c>
      <c r="I44" s="39" t="s">
        <v>696</v>
      </c>
      <c r="J44" s="35"/>
      <c r="K44" s="43">
        <v>350</v>
      </c>
      <c r="L44" s="43">
        <v>200</v>
      </c>
      <c r="M44" s="43">
        <v>450</v>
      </c>
      <c r="N44" s="43">
        <v>0</v>
      </c>
      <c r="O44" s="43">
        <v>1000</v>
      </c>
    </row>
    <row r="45" spans="2:15" x14ac:dyDescent="0.35">
      <c r="B45" s="31">
        <v>44013</v>
      </c>
      <c r="C45" s="31">
        <v>44043</v>
      </c>
      <c r="D45" s="40" t="s">
        <v>675</v>
      </c>
      <c r="E45" s="33" t="s">
        <v>688</v>
      </c>
      <c r="F45" s="34"/>
      <c r="G45" s="35"/>
      <c r="H45" s="32" t="s">
        <v>697</v>
      </c>
      <c r="I45" s="39" t="s">
        <v>698</v>
      </c>
      <c r="J45" s="35"/>
      <c r="K45" s="43">
        <v>1000</v>
      </c>
      <c r="L45" s="43">
        <v>0</v>
      </c>
      <c r="M45" s="43">
        <v>0</v>
      </c>
      <c r="N45" s="43">
        <v>0</v>
      </c>
      <c r="O45" s="43">
        <v>1000</v>
      </c>
    </row>
    <row r="46" spans="2:15" x14ac:dyDescent="0.35">
      <c r="B46" s="31">
        <v>44013</v>
      </c>
      <c r="C46" s="31">
        <v>44043</v>
      </c>
      <c r="D46" s="40" t="s">
        <v>675</v>
      </c>
      <c r="E46" s="33" t="s">
        <v>688</v>
      </c>
      <c r="F46" s="34"/>
      <c r="G46" s="35"/>
      <c r="H46" s="32" t="s">
        <v>699</v>
      </c>
      <c r="I46" s="39" t="s">
        <v>700</v>
      </c>
      <c r="J46" s="35"/>
      <c r="K46" s="43">
        <v>1000</v>
      </c>
      <c r="L46" s="43">
        <v>0</v>
      </c>
      <c r="M46" s="43">
        <v>0</v>
      </c>
      <c r="N46" s="43">
        <v>0</v>
      </c>
      <c r="O46" s="43">
        <v>1000</v>
      </c>
    </row>
    <row r="47" spans="2:15" x14ac:dyDescent="0.35">
      <c r="B47" s="31">
        <v>44013</v>
      </c>
      <c r="C47" s="31">
        <v>44043</v>
      </c>
      <c r="D47" s="40" t="s">
        <v>675</v>
      </c>
      <c r="E47" s="33" t="s">
        <v>688</v>
      </c>
      <c r="F47" s="34"/>
      <c r="G47" s="35"/>
      <c r="H47" s="32" t="s">
        <v>701</v>
      </c>
      <c r="I47" s="39" t="s">
        <v>702</v>
      </c>
      <c r="J47" s="35"/>
      <c r="K47" s="43">
        <v>200</v>
      </c>
      <c r="L47" s="43">
        <v>800</v>
      </c>
      <c r="M47" s="43">
        <v>0</v>
      </c>
      <c r="N47" s="43">
        <v>0</v>
      </c>
      <c r="O47" s="43">
        <v>1000</v>
      </c>
    </row>
    <row r="48" spans="2:15" x14ac:dyDescent="0.35">
      <c r="B48" s="31">
        <v>44013</v>
      </c>
      <c r="C48" s="31">
        <v>44043</v>
      </c>
      <c r="D48" s="40" t="s">
        <v>675</v>
      </c>
      <c r="E48" s="33" t="s">
        <v>688</v>
      </c>
      <c r="F48" s="34"/>
      <c r="G48" s="35"/>
      <c r="H48" s="32" t="s">
        <v>703</v>
      </c>
      <c r="I48" s="39" t="s">
        <v>704</v>
      </c>
      <c r="J48" s="35"/>
      <c r="K48" s="43">
        <v>100</v>
      </c>
      <c r="L48" s="43">
        <v>0</v>
      </c>
      <c r="M48" s="43">
        <v>0</v>
      </c>
      <c r="N48" s="43">
        <v>900</v>
      </c>
      <c r="O48" s="43">
        <v>1000</v>
      </c>
    </row>
    <row r="50" spans="2:4" ht="16.25" customHeight="1" x14ac:dyDescent="0.35">
      <c r="B50" s="246" t="s">
        <v>923</v>
      </c>
      <c r="C50" s="246"/>
      <c r="D50" s="246"/>
    </row>
  </sheetData>
  <mergeCells count="30">
    <mergeCell ref="B50:D50"/>
    <mergeCell ref="B23:C23"/>
    <mergeCell ref="D23:H23"/>
    <mergeCell ref="D19:H19"/>
    <mergeCell ref="B21:C21"/>
    <mergeCell ref="D21:H21"/>
    <mergeCell ref="B22:C22"/>
    <mergeCell ref="D22:H22"/>
    <mergeCell ref="D20:H20"/>
    <mergeCell ref="B19:C20"/>
    <mergeCell ref="B16:C16"/>
    <mergeCell ref="D16:H16"/>
    <mergeCell ref="B17:C17"/>
    <mergeCell ref="D17:H17"/>
    <mergeCell ref="B18:C18"/>
    <mergeCell ref="D18:H18"/>
    <mergeCell ref="B4:C4"/>
    <mergeCell ref="B6:G6"/>
    <mergeCell ref="B7:E7"/>
    <mergeCell ref="B8:J8"/>
    <mergeCell ref="B11:C11"/>
    <mergeCell ref="D11:H11"/>
    <mergeCell ref="B15:C15"/>
    <mergeCell ref="D15:H15"/>
    <mergeCell ref="B12:C12"/>
    <mergeCell ref="D12:H12"/>
    <mergeCell ref="B13:C13"/>
    <mergeCell ref="D13:H13"/>
    <mergeCell ref="B14:C14"/>
    <mergeCell ref="D14:H14"/>
  </mergeCells>
  <hyperlinks>
    <hyperlink ref="B4" location="Cover!A1" display="Back to contents" xr:uid="{4CBB1104-C203-483B-A278-DB3E6F816ED2}"/>
    <hyperlink ref="D20" r:id="rId1" xr:uid="{7312990B-B702-489F-B861-1C46CDA5FFA1}"/>
  </hyperlinks>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Q18"/>
  <sheetViews>
    <sheetView showGridLines="0" zoomScaleNormal="100" workbookViewId="0"/>
  </sheetViews>
  <sheetFormatPr defaultRowHeight="14.5" x14ac:dyDescent="0.35"/>
  <cols>
    <col min="1" max="1" width="2.54296875" customWidth="1"/>
  </cols>
  <sheetData>
    <row r="1" spans="2:17" s="1" customFormat="1" ht="14" x14ac:dyDescent="0.35">
      <c r="B1" s="6"/>
      <c r="C1" s="6"/>
      <c r="D1" s="6"/>
      <c r="E1" s="6"/>
      <c r="F1" s="6"/>
      <c r="G1" s="6"/>
      <c r="H1" s="6"/>
      <c r="I1" s="6"/>
      <c r="J1" s="6"/>
      <c r="K1" s="6"/>
      <c r="L1" s="6"/>
      <c r="M1" s="6"/>
      <c r="N1" s="6"/>
      <c r="O1" s="6"/>
      <c r="P1" s="6"/>
      <c r="Q1" s="6"/>
    </row>
    <row r="2" spans="2:17" s="1" customFormat="1" ht="14" x14ac:dyDescent="0.35">
      <c r="B2" s="6"/>
      <c r="C2" s="6"/>
      <c r="D2" s="6"/>
      <c r="E2" s="6"/>
      <c r="F2" s="6"/>
      <c r="G2" s="6"/>
      <c r="H2" s="6"/>
      <c r="I2" s="6"/>
      <c r="J2" s="6"/>
      <c r="K2" s="6"/>
      <c r="L2" s="6"/>
      <c r="M2" s="6"/>
      <c r="N2" s="6"/>
      <c r="O2" s="6"/>
      <c r="P2" s="6"/>
      <c r="Q2" s="6"/>
    </row>
    <row r="3" spans="2:17" s="1" customFormat="1" ht="14" x14ac:dyDescent="0.35">
      <c r="B3" s="6"/>
      <c r="C3" s="6"/>
      <c r="D3" s="6"/>
      <c r="E3" s="6"/>
      <c r="F3" s="6"/>
      <c r="G3" s="6"/>
      <c r="H3" s="6"/>
      <c r="I3" s="6"/>
      <c r="J3" s="6"/>
      <c r="K3" s="6"/>
      <c r="L3" s="6"/>
      <c r="M3" s="6"/>
      <c r="N3" s="6"/>
      <c r="O3" s="6"/>
      <c r="P3" s="6"/>
      <c r="Q3" s="6"/>
    </row>
    <row r="4" spans="2:17" s="1" customFormat="1" ht="14" x14ac:dyDescent="0.35">
      <c r="B4" s="6"/>
      <c r="C4" s="6"/>
      <c r="D4" s="6"/>
      <c r="E4" s="6"/>
      <c r="F4" s="6"/>
      <c r="G4" s="6"/>
      <c r="H4" s="6"/>
      <c r="I4" s="6"/>
      <c r="J4" s="6"/>
      <c r="K4" s="6"/>
      <c r="L4" s="6"/>
      <c r="M4" s="6"/>
      <c r="N4" s="6"/>
      <c r="O4" s="6"/>
      <c r="P4" s="6"/>
      <c r="Q4" s="6"/>
    </row>
    <row r="5" spans="2:17" s="1" customFormat="1" ht="14" x14ac:dyDescent="0.35">
      <c r="B5" s="6"/>
      <c r="C5" s="6"/>
      <c r="D5" s="6"/>
      <c r="E5" s="6"/>
      <c r="F5" s="6"/>
      <c r="G5" s="6"/>
      <c r="H5" s="6"/>
      <c r="I5" s="6"/>
      <c r="J5" s="6"/>
      <c r="K5" s="6"/>
      <c r="L5" s="6"/>
      <c r="M5" s="6"/>
      <c r="N5" s="6"/>
      <c r="O5" s="6"/>
      <c r="P5" s="6"/>
      <c r="Q5" s="6"/>
    </row>
    <row r="6" spans="2:17" s="1" customFormat="1" ht="14" x14ac:dyDescent="0.35">
      <c r="B6" s="6"/>
      <c r="C6" s="6"/>
      <c r="D6" s="6"/>
      <c r="E6" s="6"/>
      <c r="F6" s="6"/>
      <c r="G6" s="6"/>
      <c r="H6" s="6"/>
      <c r="I6" s="6"/>
      <c r="J6" s="6"/>
      <c r="K6" s="6"/>
      <c r="L6" s="6"/>
      <c r="M6" s="6"/>
      <c r="N6" s="6"/>
      <c r="O6" s="6"/>
      <c r="P6" s="6"/>
      <c r="Q6" s="6"/>
    </row>
    <row r="7" spans="2:17" s="1" customFormat="1" ht="14" x14ac:dyDescent="0.35">
      <c r="B7" s="259" t="s">
        <v>24</v>
      </c>
      <c r="C7" s="259"/>
      <c r="D7" s="6"/>
      <c r="E7" s="6"/>
      <c r="F7" s="6"/>
      <c r="G7" s="6"/>
      <c r="H7" s="6"/>
      <c r="I7" s="6"/>
      <c r="J7" s="6"/>
      <c r="K7" s="6"/>
      <c r="L7" s="6"/>
      <c r="M7" s="6"/>
      <c r="N7" s="6"/>
      <c r="O7" s="6"/>
      <c r="P7" s="6"/>
      <c r="Q7" s="6"/>
    </row>
    <row r="8" spans="2:17" s="1" customFormat="1" ht="51.65" customHeight="1" x14ac:dyDescent="0.35">
      <c r="B8" s="288" t="str">
        <f>Cover!B7</f>
        <v>Community Services Statistics</v>
      </c>
      <c r="C8" s="288"/>
      <c r="D8" s="288"/>
      <c r="E8" s="288"/>
      <c r="F8" s="288"/>
      <c r="G8" s="288"/>
      <c r="H8" s="288"/>
      <c r="I8" s="288"/>
      <c r="J8" s="288"/>
      <c r="K8" s="288"/>
      <c r="L8" s="288"/>
      <c r="M8" s="288"/>
      <c r="N8" s="288"/>
      <c r="O8" s="288"/>
      <c r="P8" s="288"/>
      <c r="Q8" s="288"/>
    </row>
    <row r="9" spans="2:17" s="1" customFormat="1" ht="25.25" customHeight="1" x14ac:dyDescent="0.35">
      <c r="B9" s="253" t="s">
        <v>7</v>
      </c>
      <c r="C9" s="253"/>
      <c r="D9" s="253"/>
      <c r="E9" s="253"/>
      <c r="F9" s="253"/>
      <c r="G9" s="253"/>
      <c r="H9" s="253"/>
      <c r="I9" s="253"/>
      <c r="J9" s="253"/>
      <c r="K9" s="253"/>
      <c r="L9" s="253"/>
      <c r="M9" s="253"/>
      <c r="N9" s="253"/>
      <c r="O9" s="253"/>
      <c r="P9" s="253"/>
      <c r="Q9" s="253"/>
    </row>
    <row r="11" spans="2:17" x14ac:dyDescent="0.35">
      <c r="B11" s="15" t="s">
        <v>705</v>
      </c>
      <c r="D11" s="8" t="s">
        <v>706</v>
      </c>
    </row>
    <row r="12" spans="2:17" x14ac:dyDescent="0.35">
      <c r="B12" s="15" t="s">
        <v>707</v>
      </c>
      <c r="D12" s="8" t="s">
        <v>708</v>
      </c>
    </row>
    <row r="13" spans="2:17" x14ac:dyDescent="0.35">
      <c r="B13" s="15" t="s">
        <v>709</v>
      </c>
      <c r="D13" s="8" t="s">
        <v>710</v>
      </c>
    </row>
    <row r="14" spans="2:17" x14ac:dyDescent="0.35">
      <c r="B14" s="15" t="s">
        <v>711</v>
      </c>
      <c r="D14" s="8" t="s">
        <v>712</v>
      </c>
    </row>
    <row r="15" spans="2:17" x14ac:dyDescent="0.35">
      <c r="B15" s="15" t="s">
        <v>713</v>
      </c>
      <c r="D15" s="8" t="s">
        <v>714</v>
      </c>
    </row>
    <row r="16" spans="2:17" x14ac:dyDescent="0.35">
      <c r="B16" s="15" t="s">
        <v>715</v>
      </c>
      <c r="D16" s="8" t="s">
        <v>716</v>
      </c>
    </row>
    <row r="17" spans="2:4" x14ac:dyDescent="0.35">
      <c r="B17" s="15"/>
      <c r="D17" s="8"/>
    </row>
    <row r="18" spans="2:4" x14ac:dyDescent="0.35">
      <c r="B18" s="246" t="s">
        <v>923</v>
      </c>
      <c r="C18" s="246"/>
      <c r="D18" s="246"/>
    </row>
  </sheetData>
  <sortState xmlns:xlrd2="http://schemas.microsoft.com/office/spreadsheetml/2017/richdata2" ref="B11:D16">
    <sortCondition ref="B11:B16"/>
  </sortState>
  <mergeCells count="4">
    <mergeCell ref="B7:C7"/>
    <mergeCell ref="B8:Q8"/>
    <mergeCell ref="B9:Q9"/>
    <mergeCell ref="B18:D18"/>
  </mergeCells>
  <hyperlinks>
    <hyperlink ref="B7" location="Cover!A1" display="Back to contents" xr:uid="{00000000-0004-0000-0500-000000000000}"/>
  </hyperlink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pageSetUpPr fitToPage="1"/>
  </sheetPr>
  <dimension ref="B1:O79"/>
  <sheetViews>
    <sheetView showGridLines="0" topLeftCell="D37" zoomScaleNormal="100" zoomScaleSheetLayoutView="70" zoomScalePageLayoutView="80" workbookViewId="0">
      <selection sqref="A1:D1"/>
    </sheetView>
  </sheetViews>
  <sheetFormatPr defaultColWidth="10.36328125" defaultRowHeight="14" x14ac:dyDescent="0.35"/>
  <cols>
    <col min="1" max="1" width="2.54296875" style="6" customWidth="1"/>
    <col min="2" max="2" width="41.90625" style="6" customWidth="1"/>
    <col min="3" max="3" width="35.6328125" style="6" customWidth="1"/>
    <col min="4" max="4" width="28.54296875" style="6" customWidth="1"/>
    <col min="5" max="5" width="55.6328125" style="6" customWidth="1"/>
    <col min="6" max="6" width="139.54296875" style="6" customWidth="1"/>
    <col min="7" max="7" width="31.54296875" style="6" customWidth="1"/>
    <col min="8" max="16384" width="10.36328125" style="6"/>
  </cols>
  <sheetData>
    <row r="1" spans="2:5" ht="15" customHeight="1" x14ac:dyDescent="0.35"/>
    <row r="2" spans="2:5" ht="15" customHeight="1" x14ac:dyDescent="0.35"/>
    <row r="3" spans="2:5" ht="15" customHeight="1" x14ac:dyDescent="0.35"/>
    <row r="4" spans="2:5" ht="15" customHeight="1" x14ac:dyDescent="0.35"/>
    <row r="5" spans="2:5" ht="15" customHeight="1" x14ac:dyDescent="0.35"/>
    <row r="6" spans="2:5" ht="15" customHeight="1" x14ac:dyDescent="0.35"/>
    <row r="7" spans="2:5" ht="15" customHeight="1" x14ac:dyDescent="0.35"/>
    <row r="8" spans="2:5" ht="15" customHeight="1" x14ac:dyDescent="0.35"/>
    <row r="9" spans="2:5" x14ac:dyDescent="0.35">
      <c r="B9" s="259" t="s">
        <v>24</v>
      </c>
      <c r="C9" s="259"/>
    </row>
    <row r="10" spans="2:5" ht="32.5" x14ac:dyDescent="0.35">
      <c r="B10" s="270" t="str">
        <f>Cover!B7</f>
        <v>Community Services Statistics</v>
      </c>
      <c r="C10" s="270"/>
      <c r="D10" s="270"/>
      <c r="E10" s="270"/>
    </row>
    <row r="11" spans="2:5" ht="25.25" customHeight="1" x14ac:dyDescent="0.35">
      <c r="B11" s="253" t="s">
        <v>401</v>
      </c>
      <c r="C11" s="253"/>
      <c r="D11" s="253"/>
      <c r="E11" s="253"/>
    </row>
    <row r="12" spans="2:5" x14ac:dyDescent="0.35">
      <c r="B12" s="271"/>
      <c r="C12" s="271"/>
      <c r="D12" s="271"/>
      <c r="E12" s="271"/>
    </row>
    <row r="13" spans="2:5" ht="45" customHeight="1" x14ac:dyDescent="0.35">
      <c r="B13" s="272" t="s">
        <v>402</v>
      </c>
      <c r="C13" s="272"/>
      <c r="D13" s="272"/>
      <c r="E13" s="272"/>
    </row>
    <row r="14" spans="2:5" ht="15" customHeight="1" x14ac:dyDescent="0.35">
      <c r="B14" s="259" t="s">
        <v>403</v>
      </c>
      <c r="C14" s="259"/>
      <c r="D14" s="259"/>
      <c r="E14" s="259"/>
    </row>
    <row r="15" spans="2:5" ht="15" customHeight="1" x14ac:dyDescent="0.35">
      <c r="B15" s="259" t="s">
        <v>404</v>
      </c>
      <c r="C15" s="259"/>
      <c r="D15" s="259"/>
      <c r="E15" s="259"/>
    </row>
    <row r="16" spans="2:5" ht="15" customHeight="1" x14ac:dyDescent="0.35">
      <c r="B16" s="259" t="s">
        <v>405</v>
      </c>
      <c r="C16" s="259"/>
      <c r="D16" s="259"/>
      <c r="E16" s="259"/>
    </row>
    <row r="17" spans="2:5" ht="54.75" customHeight="1" x14ac:dyDescent="0.35">
      <c r="B17" s="272" t="s">
        <v>406</v>
      </c>
      <c r="C17" s="272"/>
      <c r="D17" s="272"/>
      <c r="E17" s="272"/>
    </row>
    <row r="18" spans="2:5" ht="15" customHeight="1" x14ac:dyDescent="0.35">
      <c r="B18" s="259" t="s">
        <v>309</v>
      </c>
      <c r="C18" s="259"/>
      <c r="D18" s="259"/>
      <c r="E18" s="259"/>
    </row>
    <row r="19" spans="2:5" ht="30.65" customHeight="1" x14ac:dyDescent="0.35">
      <c r="B19" s="273" t="s">
        <v>407</v>
      </c>
      <c r="C19" s="273"/>
      <c r="D19" s="273"/>
      <c r="E19" s="273"/>
    </row>
    <row r="20" spans="2:5" x14ac:dyDescent="0.35">
      <c r="B20" s="7"/>
      <c r="C20" s="7"/>
    </row>
    <row r="21" spans="2:5" x14ac:dyDescent="0.35">
      <c r="B21" s="269" t="s">
        <v>403</v>
      </c>
      <c r="C21" s="269"/>
      <c r="D21" s="269"/>
      <c r="E21" s="269"/>
    </row>
    <row r="22" spans="2:5" ht="15" customHeight="1" thickBot="1" x14ac:dyDescent="0.4">
      <c r="B22" s="2" t="s">
        <v>408</v>
      </c>
      <c r="C22" s="2" t="s">
        <v>409</v>
      </c>
      <c r="D22" s="2" t="s">
        <v>53</v>
      </c>
      <c r="E22" s="2" t="s">
        <v>373</v>
      </c>
    </row>
    <row r="23" spans="2:5" ht="15" customHeight="1" x14ac:dyDescent="0.35">
      <c r="B23" s="6" t="s">
        <v>374</v>
      </c>
      <c r="C23" s="6" t="s">
        <v>410</v>
      </c>
      <c r="D23" s="19"/>
      <c r="E23" s="19"/>
    </row>
    <row r="24" spans="2:5" ht="15" customHeight="1" x14ac:dyDescent="0.35">
      <c r="B24" s="6" t="s">
        <v>375</v>
      </c>
      <c r="C24" s="6" t="s">
        <v>411</v>
      </c>
    </row>
    <row r="25" spans="2:5" ht="90" customHeight="1" x14ac:dyDescent="0.35">
      <c r="B25" s="6" t="s">
        <v>376</v>
      </c>
      <c r="C25" s="6" t="s">
        <v>412</v>
      </c>
      <c r="D25" s="46" t="s">
        <v>413</v>
      </c>
    </row>
    <row r="26" spans="2:5" ht="30" customHeight="1" x14ac:dyDescent="0.35">
      <c r="B26" s="6" t="s">
        <v>377</v>
      </c>
      <c r="C26" s="6" t="s">
        <v>414</v>
      </c>
    </row>
    <row r="27" spans="2:5" ht="30" customHeight="1" x14ac:dyDescent="0.35">
      <c r="B27" s="5" t="s">
        <v>378</v>
      </c>
      <c r="C27" s="5" t="s">
        <v>415</v>
      </c>
      <c r="D27" s="5"/>
      <c r="E27" s="5"/>
    </row>
    <row r="28" spans="2:5" ht="30" customHeight="1" x14ac:dyDescent="0.35">
      <c r="B28" s="5" t="s">
        <v>379</v>
      </c>
      <c r="C28" s="5" t="s">
        <v>416</v>
      </c>
      <c r="D28" s="5"/>
      <c r="E28" s="5"/>
    </row>
    <row r="29" spans="2:5" ht="30" customHeight="1" x14ac:dyDescent="0.35">
      <c r="B29" s="6" t="s">
        <v>380</v>
      </c>
      <c r="C29" s="6" t="s">
        <v>417</v>
      </c>
    </row>
    <row r="30" spans="2:5" ht="30" customHeight="1" x14ac:dyDescent="0.35">
      <c r="B30" s="6" t="s">
        <v>381</v>
      </c>
      <c r="C30" s="6" t="s">
        <v>418</v>
      </c>
    </row>
    <row r="31" spans="2:5" ht="30" customHeight="1" x14ac:dyDescent="0.35">
      <c r="B31" s="5" t="s">
        <v>240</v>
      </c>
      <c r="C31" s="5" t="s">
        <v>419</v>
      </c>
      <c r="D31" s="5"/>
      <c r="E31" s="5"/>
    </row>
    <row r="32" spans="2:5" ht="30" customHeight="1" x14ac:dyDescent="0.35">
      <c r="B32" s="6" t="s">
        <v>382</v>
      </c>
      <c r="C32" s="6" t="s">
        <v>418</v>
      </c>
    </row>
    <row r="33" spans="2:15" ht="30" customHeight="1" x14ac:dyDescent="0.35">
      <c r="B33" s="5" t="s">
        <v>420</v>
      </c>
      <c r="C33" s="5" t="s">
        <v>419</v>
      </c>
      <c r="D33" s="5"/>
      <c r="E33" s="5"/>
    </row>
    <row r="34" spans="2:15" ht="30" customHeight="1" x14ac:dyDescent="0.35">
      <c r="B34" s="5" t="s">
        <v>421</v>
      </c>
      <c r="C34" s="5" t="s">
        <v>422</v>
      </c>
      <c r="D34" s="5"/>
      <c r="E34" s="5"/>
    </row>
    <row r="35" spans="2:15" ht="42" x14ac:dyDescent="0.35">
      <c r="B35" s="6" t="s">
        <v>423</v>
      </c>
      <c r="C35" s="6" t="s">
        <v>424</v>
      </c>
    </row>
    <row r="36" spans="2:15" ht="42" x14ac:dyDescent="0.35">
      <c r="B36" s="5" t="s">
        <v>425</v>
      </c>
      <c r="C36" s="5" t="s">
        <v>426</v>
      </c>
      <c r="D36" s="5"/>
      <c r="E36" s="5"/>
    </row>
    <row r="37" spans="2:15" ht="42.5" thickBot="1" x14ac:dyDescent="0.4">
      <c r="B37" s="12" t="s">
        <v>427</v>
      </c>
      <c r="C37" s="12" t="s">
        <v>428</v>
      </c>
      <c r="D37" s="12"/>
    </row>
    <row r="38" spans="2:15" x14ac:dyDescent="0.35">
      <c r="E38" s="24"/>
      <c r="F38" s="24"/>
      <c r="G38" s="24"/>
    </row>
    <row r="39" spans="2:15" ht="15" customHeight="1" x14ac:dyDescent="0.35">
      <c r="B39" s="269" t="s">
        <v>405</v>
      </c>
      <c r="C39" s="269"/>
      <c r="D39" s="269"/>
      <c r="E39" s="269"/>
    </row>
    <row r="40" spans="2:15" ht="70.5" thickBot="1" x14ac:dyDescent="0.4">
      <c r="B40" s="2" t="s">
        <v>42</v>
      </c>
      <c r="C40" s="2" t="s">
        <v>429</v>
      </c>
      <c r="D40" s="2" t="s">
        <v>430</v>
      </c>
      <c r="E40" s="2" t="s">
        <v>45</v>
      </c>
      <c r="F40" s="2" t="s">
        <v>431</v>
      </c>
      <c r="G40" s="2" t="s">
        <v>373</v>
      </c>
      <c r="I40" s="10"/>
      <c r="J40" s="10"/>
    </row>
    <row r="42" spans="2:15" ht="56" x14ac:dyDescent="0.3">
      <c r="B42" s="5" t="s">
        <v>432</v>
      </c>
      <c r="C42" s="5" t="s">
        <v>433</v>
      </c>
      <c r="D42" s="5" t="s">
        <v>434</v>
      </c>
      <c r="E42" s="5" t="s">
        <v>198</v>
      </c>
      <c r="F42" s="5" t="s">
        <v>435</v>
      </c>
      <c r="G42" s="5"/>
      <c r="I42" s="11"/>
      <c r="J42" s="11"/>
      <c r="K42" s="8"/>
      <c r="L42" s="8"/>
      <c r="M42" s="8"/>
      <c r="N42" s="8"/>
      <c r="O42" s="8"/>
    </row>
    <row r="43" spans="2:15" ht="112" x14ac:dyDescent="0.3">
      <c r="B43" s="6" t="s">
        <v>55</v>
      </c>
      <c r="C43" s="6" t="s">
        <v>56</v>
      </c>
      <c r="D43" s="6" t="s">
        <v>436</v>
      </c>
      <c r="E43" s="6" t="s">
        <v>58</v>
      </c>
      <c r="F43" s="6" t="s">
        <v>437</v>
      </c>
      <c r="I43" s="11"/>
      <c r="J43" s="11"/>
      <c r="K43" s="8"/>
      <c r="L43" s="8"/>
      <c r="M43" s="8"/>
      <c r="N43" s="8"/>
      <c r="O43" s="8"/>
    </row>
    <row r="44" spans="2:15" ht="84" x14ac:dyDescent="0.3">
      <c r="B44" s="5" t="s">
        <v>76</v>
      </c>
      <c r="C44" s="5" t="s">
        <v>77</v>
      </c>
      <c r="D44" s="5" t="s">
        <v>436</v>
      </c>
      <c r="E44" s="5" t="s">
        <v>58</v>
      </c>
      <c r="F44" s="5" t="s">
        <v>438</v>
      </c>
      <c r="G44" s="5"/>
      <c r="I44" s="11"/>
      <c r="J44" s="11"/>
      <c r="K44" s="8"/>
      <c r="L44" s="8"/>
      <c r="M44" s="8"/>
      <c r="N44" s="8"/>
      <c r="O44" s="8"/>
    </row>
    <row r="45" spans="2:15" ht="84" x14ac:dyDescent="0.3">
      <c r="B45" s="6" t="s">
        <v>88</v>
      </c>
      <c r="F45" s="6" t="s">
        <v>439</v>
      </c>
      <c r="I45" s="11"/>
      <c r="J45" s="11"/>
      <c r="K45" s="8"/>
      <c r="L45" s="8"/>
      <c r="M45" s="8"/>
      <c r="N45" s="8"/>
      <c r="O45" s="8"/>
    </row>
    <row r="46" spans="2:15" ht="409.5" x14ac:dyDescent="0.3">
      <c r="B46" s="5" t="s">
        <v>440</v>
      </c>
      <c r="C46" s="5" t="s">
        <v>262</v>
      </c>
      <c r="D46" s="5" t="s">
        <v>441</v>
      </c>
      <c r="E46" s="5" t="s">
        <v>442</v>
      </c>
      <c r="F46" s="5" t="s">
        <v>443</v>
      </c>
      <c r="G46" s="5"/>
      <c r="I46" s="11"/>
      <c r="J46" s="11"/>
      <c r="K46" s="11"/>
      <c r="L46" s="8"/>
      <c r="M46" s="8"/>
      <c r="N46" s="8"/>
      <c r="O46" s="8"/>
    </row>
    <row r="47" spans="2:15" ht="28" x14ac:dyDescent="0.3">
      <c r="B47" s="6" t="s">
        <v>109</v>
      </c>
      <c r="I47" s="11"/>
      <c r="J47" s="11"/>
      <c r="K47" s="11"/>
      <c r="L47" s="8"/>
      <c r="M47" s="8"/>
      <c r="N47" s="8"/>
      <c r="O47" s="8"/>
    </row>
    <row r="48" spans="2:15" ht="28" x14ac:dyDescent="0.3">
      <c r="B48" s="5" t="s">
        <v>444</v>
      </c>
      <c r="C48" s="5"/>
      <c r="D48" s="5"/>
      <c r="E48" s="5"/>
      <c r="F48" s="5"/>
      <c r="G48" s="5"/>
      <c r="I48" s="11"/>
      <c r="J48" s="11"/>
      <c r="K48" s="11"/>
      <c r="L48" s="8"/>
      <c r="M48" s="8"/>
      <c r="N48" s="8"/>
      <c r="O48" s="8"/>
    </row>
    <row r="49" spans="2:15" s="20" customFormat="1" ht="196" x14ac:dyDescent="0.3">
      <c r="B49" s="20" t="s">
        <v>445</v>
      </c>
      <c r="C49" s="20" t="s">
        <v>262</v>
      </c>
      <c r="D49" s="20" t="s">
        <v>441</v>
      </c>
      <c r="E49" s="20" t="s">
        <v>442</v>
      </c>
      <c r="F49" s="20" t="s">
        <v>446</v>
      </c>
      <c r="G49" s="20" t="s">
        <v>447</v>
      </c>
      <c r="I49" s="21"/>
      <c r="J49" s="21"/>
      <c r="K49" s="21"/>
      <c r="L49" s="22"/>
      <c r="M49" s="22"/>
      <c r="N49" s="22"/>
      <c r="O49" s="22"/>
    </row>
    <row r="50" spans="2:15" s="20" customFormat="1" ht="294" x14ac:dyDescent="0.3">
      <c r="B50" s="23" t="s">
        <v>448</v>
      </c>
      <c r="C50" s="23" t="s">
        <v>449</v>
      </c>
      <c r="D50" s="23" t="s">
        <v>441</v>
      </c>
      <c r="E50" s="23" t="s">
        <v>450</v>
      </c>
      <c r="F50" s="23" t="s">
        <v>451</v>
      </c>
      <c r="G50" s="23"/>
      <c r="I50" s="21"/>
      <c r="J50" s="21"/>
      <c r="K50" s="22"/>
      <c r="L50" s="22"/>
      <c r="M50" s="22"/>
      <c r="N50" s="22"/>
      <c r="O50" s="22"/>
    </row>
    <row r="51" spans="2:15" s="20" customFormat="1" ht="399.75" customHeight="1" x14ac:dyDescent="0.3">
      <c r="B51" s="20" t="s">
        <v>452</v>
      </c>
      <c r="C51" s="20" t="s">
        <v>125</v>
      </c>
      <c r="D51" s="20" t="s">
        <v>441</v>
      </c>
      <c r="E51" s="20" t="s">
        <v>111</v>
      </c>
      <c r="F51" s="20" t="s">
        <v>453</v>
      </c>
      <c r="I51" s="21"/>
      <c r="J51" s="21"/>
      <c r="K51" s="22"/>
      <c r="L51" s="22"/>
      <c r="M51" s="22"/>
      <c r="N51" s="22"/>
      <c r="O51" s="22"/>
    </row>
    <row r="52" spans="2:15" ht="154.5" customHeight="1" x14ac:dyDescent="0.3">
      <c r="F52" s="18" t="s">
        <v>454</v>
      </c>
      <c r="I52" s="11"/>
      <c r="J52" s="11"/>
      <c r="K52" s="8"/>
      <c r="L52" s="8"/>
      <c r="M52" s="8"/>
      <c r="N52" s="8"/>
      <c r="O52" s="8"/>
    </row>
    <row r="53" spans="2:15" ht="126" x14ac:dyDescent="0.3">
      <c r="B53" s="5" t="s">
        <v>455</v>
      </c>
      <c r="C53" s="5" t="s">
        <v>456</v>
      </c>
      <c r="D53" s="5" t="s">
        <v>434</v>
      </c>
      <c r="E53" s="5" t="s">
        <v>58</v>
      </c>
      <c r="F53" s="5" t="s">
        <v>457</v>
      </c>
      <c r="G53" s="5"/>
      <c r="I53" s="11"/>
      <c r="J53" s="11"/>
      <c r="K53" s="8"/>
      <c r="L53" s="8"/>
      <c r="M53" s="8"/>
      <c r="N53" s="8"/>
      <c r="O53" s="8"/>
    </row>
    <row r="54" spans="2:15" ht="56" x14ac:dyDescent="0.3">
      <c r="B54" s="6" t="s">
        <v>234</v>
      </c>
      <c r="C54" s="6" t="s">
        <v>235</v>
      </c>
      <c r="D54" s="6" t="s">
        <v>434</v>
      </c>
      <c r="E54" s="6" t="s">
        <v>58</v>
      </c>
      <c r="F54" s="6" t="s">
        <v>458</v>
      </c>
      <c r="I54" s="11"/>
      <c r="J54" s="11"/>
      <c r="K54" s="8"/>
      <c r="L54" s="8"/>
      <c r="M54" s="8"/>
      <c r="N54" s="8"/>
      <c r="O54" s="8"/>
    </row>
    <row r="55" spans="2:15" ht="56" x14ac:dyDescent="0.3">
      <c r="B55" s="6" t="s">
        <v>136</v>
      </c>
      <c r="C55" s="6" t="s">
        <v>137</v>
      </c>
      <c r="D55" s="6" t="s">
        <v>434</v>
      </c>
      <c r="E55" s="6" t="s">
        <v>58</v>
      </c>
      <c r="F55" s="6" t="s">
        <v>459</v>
      </c>
      <c r="I55" s="11"/>
      <c r="J55" s="11"/>
      <c r="K55" s="8"/>
      <c r="L55" s="8"/>
      <c r="M55" s="8"/>
      <c r="N55" s="8"/>
      <c r="O55" s="8"/>
    </row>
    <row r="56" spans="2:15" ht="280" x14ac:dyDescent="0.3">
      <c r="B56" s="5" t="s">
        <v>460</v>
      </c>
      <c r="C56" s="5" t="s">
        <v>146</v>
      </c>
      <c r="D56" s="5" t="s">
        <v>434</v>
      </c>
      <c r="E56" s="5" t="s">
        <v>58</v>
      </c>
      <c r="F56" s="5" t="s">
        <v>461</v>
      </c>
      <c r="G56" s="5"/>
      <c r="I56" s="11"/>
      <c r="J56" s="11"/>
      <c r="K56" s="8"/>
      <c r="L56" s="8"/>
      <c r="M56" s="8"/>
      <c r="N56" s="8"/>
      <c r="O56" s="8"/>
    </row>
    <row r="57" spans="2:15" ht="56" x14ac:dyDescent="0.3">
      <c r="B57" s="6" t="s">
        <v>170</v>
      </c>
      <c r="C57" s="6" t="s">
        <v>171</v>
      </c>
      <c r="D57" s="6" t="s">
        <v>462</v>
      </c>
      <c r="E57" s="6" t="s">
        <v>463</v>
      </c>
      <c r="F57" s="6" t="s">
        <v>464</v>
      </c>
      <c r="I57" s="11"/>
      <c r="J57" s="11"/>
      <c r="K57" s="11"/>
      <c r="L57" s="8"/>
      <c r="M57" s="8"/>
      <c r="N57" s="8"/>
      <c r="O57" s="8"/>
    </row>
    <row r="58" spans="2:15" s="20" customFormat="1" ht="378.65" customHeight="1" x14ac:dyDescent="0.3">
      <c r="B58" s="20" t="s">
        <v>349</v>
      </c>
      <c r="C58" s="20" t="s">
        <v>465</v>
      </c>
      <c r="D58" s="20" t="s">
        <v>441</v>
      </c>
      <c r="E58" s="20" t="s">
        <v>442</v>
      </c>
      <c r="F58" s="20" t="s">
        <v>466</v>
      </c>
      <c r="I58" s="21"/>
      <c r="J58" s="21"/>
      <c r="K58" s="22"/>
      <c r="L58" s="22"/>
      <c r="M58" s="22"/>
      <c r="N58" s="22"/>
      <c r="O58" s="22"/>
    </row>
    <row r="59" spans="2:15" ht="98" x14ac:dyDescent="0.3">
      <c r="B59" s="5" t="s">
        <v>179</v>
      </c>
      <c r="C59" s="5" t="s">
        <v>180</v>
      </c>
      <c r="D59" s="5" t="s">
        <v>467</v>
      </c>
      <c r="E59" s="5" t="s">
        <v>111</v>
      </c>
      <c r="F59" s="5" t="s">
        <v>468</v>
      </c>
      <c r="G59" s="5"/>
      <c r="I59" s="11"/>
      <c r="J59" s="11"/>
      <c r="K59" s="8"/>
      <c r="L59" s="8"/>
      <c r="M59" s="8"/>
      <c r="N59" s="8"/>
      <c r="O59" s="8"/>
    </row>
    <row r="60" spans="2:15" ht="154" x14ac:dyDescent="0.3">
      <c r="B60" s="6" t="s">
        <v>469</v>
      </c>
      <c r="C60" s="6" t="s">
        <v>296</v>
      </c>
      <c r="D60" s="6" t="s">
        <v>467</v>
      </c>
      <c r="E60" s="6" t="s">
        <v>111</v>
      </c>
      <c r="F60" s="6" t="s">
        <v>470</v>
      </c>
      <c r="I60" s="11"/>
      <c r="J60" s="11"/>
      <c r="K60" s="8"/>
      <c r="L60" s="8"/>
      <c r="M60" s="8"/>
      <c r="N60" s="8"/>
      <c r="O60" s="8"/>
    </row>
    <row r="61" spans="2:15" x14ac:dyDescent="0.3">
      <c r="B61" s="6" t="s">
        <v>196</v>
      </c>
      <c r="D61" s="6" t="s">
        <v>471</v>
      </c>
      <c r="E61" s="6" t="s">
        <v>198</v>
      </c>
      <c r="I61" s="11"/>
      <c r="J61" s="11"/>
      <c r="K61" s="11"/>
      <c r="L61" s="11"/>
      <c r="M61" s="11"/>
      <c r="N61" s="11"/>
      <c r="O61" s="11"/>
    </row>
    <row r="62" spans="2:15" s="5" customFormat="1" x14ac:dyDescent="0.35">
      <c r="B62" s="5" t="s">
        <v>204</v>
      </c>
      <c r="D62" s="5" t="s">
        <v>434</v>
      </c>
      <c r="E62" s="5" t="s">
        <v>58</v>
      </c>
    </row>
    <row r="63" spans="2:15" x14ac:dyDescent="0.3">
      <c r="B63" s="6" t="s">
        <v>205</v>
      </c>
      <c r="D63" s="6" t="s">
        <v>434</v>
      </c>
      <c r="E63" s="6" t="s">
        <v>472</v>
      </c>
      <c r="I63" s="11"/>
      <c r="J63" s="11"/>
      <c r="K63" s="11"/>
      <c r="L63" s="11"/>
      <c r="M63" s="11"/>
      <c r="N63" s="11"/>
      <c r="O63" s="11"/>
    </row>
    <row r="64" spans="2:15" s="5" customFormat="1" x14ac:dyDescent="0.35">
      <c r="B64" s="5" t="s">
        <v>209</v>
      </c>
      <c r="D64" s="5" t="s">
        <v>434</v>
      </c>
      <c r="E64" s="5" t="s">
        <v>473</v>
      </c>
    </row>
    <row r="65" spans="2:15" x14ac:dyDescent="0.3">
      <c r="B65" s="6" t="s">
        <v>210</v>
      </c>
      <c r="D65" s="6" t="s">
        <v>474</v>
      </c>
      <c r="E65" s="6" t="s">
        <v>211</v>
      </c>
      <c r="I65" s="11"/>
      <c r="J65" s="11"/>
      <c r="K65" s="11"/>
      <c r="L65" s="11"/>
      <c r="M65" s="11"/>
      <c r="N65" s="11"/>
      <c r="O65" s="11"/>
    </row>
    <row r="66" spans="2:15" s="5" customFormat="1" x14ac:dyDescent="0.35">
      <c r="B66" s="5" t="s">
        <v>251</v>
      </c>
      <c r="D66" s="5" t="s">
        <v>467</v>
      </c>
      <c r="E66" s="5" t="s">
        <v>91</v>
      </c>
    </row>
    <row r="67" spans="2:15" x14ac:dyDescent="0.3">
      <c r="B67" s="6" t="s">
        <v>214</v>
      </c>
      <c r="D67" s="6" t="s">
        <v>475</v>
      </c>
      <c r="E67" s="6" t="s">
        <v>215</v>
      </c>
      <c r="I67" s="11"/>
      <c r="J67" s="11"/>
      <c r="K67" s="11"/>
      <c r="L67" s="11"/>
      <c r="M67" s="11"/>
      <c r="N67" s="11"/>
      <c r="O67" s="11"/>
    </row>
    <row r="68" spans="2:15" s="5" customFormat="1" x14ac:dyDescent="0.35">
      <c r="B68" s="5" t="s">
        <v>256</v>
      </c>
      <c r="D68" s="5" t="s">
        <v>467</v>
      </c>
      <c r="E68" s="5" t="s">
        <v>111</v>
      </c>
    </row>
    <row r="69" spans="2:15" x14ac:dyDescent="0.35">
      <c r="I69" s="10"/>
      <c r="J69" s="10"/>
    </row>
    <row r="70" spans="2:15" x14ac:dyDescent="0.35">
      <c r="B70" s="289" t="s">
        <v>309</v>
      </c>
      <c r="C70" s="289"/>
      <c r="D70" s="289"/>
      <c r="E70" s="289"/>
      <c r="K70" s="10"/>
      <c r="L70" s="10"/>
    </row>
    <row r="71" spans="2:15" ht="42.5" thickBot="1" x14ac:dyDescent="0.4">
      <c r="B71" s="2" t="s">
        <v>310</v>
      </c>
      <c r="C71" s="2" t="s">
        <v>476</v>
      </c>
      <c r="D71" s="2" t="s">
        <v>477</v>
      </c>
      <c r="E71" s="2" t="s">
        <v>478</v>
      </c>
      <c r="F71" s="2" t="s">
        <v>53</v>
      </c>
      <c r="G71" s="2" t="s">
        <v>373</v>
      </c>
      <c r="K71" s="10"/>
      <c r="L71" s="10"/>
    </row>
    <row r="72" spans="2:15" ht="70" x14ac:dyDescent="0.35">
      <c r="B72" s="6" t="s">
        <v>198</v>
      </c>
      <c r="C72" s="6" t="s">
        <v>316</v>
      </c>
      <c r="D72" s="6" t="s">
        <v>479</v>
      </c>
      <c r="E72" s="6" t="s">
        <v>480</v>
      </c>
      <c r="F72" s="6" t="s">
        <v>481</v>
      </c>
      <c r="K72" s="10"/>
      <c r="L72" s="10"/>
    </row>
    <row r="73" spans="2:15" ht="84" x14ac:dyDescent="0.35">
      <c r="B73" s="5" t="s">
        <v>58</v>
      </c>
      <c r="C73" s="5" t="s">
        <v>325</v>
      </c>
      <c r="D73" s="5" t="s">
        <v>434</v>
      </c>
      <c r="E73" s="5" t="s">
        <v>482</v>
      </c>
      <c r="F73" s="5" t="s">
        <v>483</v>
      </c>
      <c r="G73" s="5"/>
    </row>
    <row r="74" spans="2:15" ht="70" x14ac:dyDescent="0.35">
      <c r="B74" s="6" t="s">
        <v>79</v>
      </c>
      <c r="C74" s="6" t="s">
        <v>333</v>
      </c>
      <c r="D74" s="6" t="s">
        <v>434</v>
      </c>
      <c r="E74" s="6" t="s">
        <v>209</v>
      </c>
      <c r="F74" s="6" t="s">
        <v>484</v>
      </c>
    </row>
    <row r="75" spans="2:15" ht="93" customHeight="1" x14ac:dyDescent="0.35">
      <c r="B75" s="5" t="s">
        <v>211</v>
      </c>
      <c r="C75" s="5" t="s">
        <v>337</v>
      </c>
      <c r="D75" s="5" t="s">
        <v>485</v>
      </c>
      <c r="E75" s="5" t="s">
        <v>210</v>
      </c>
      <c r="F75" s="5" t="s">
        <v>486</v>
      </c>
      <c r="G75" s="5"/>
    </row>
    <row r="76" spans="2:15" ht="75.75" customHeight="1" x14ac:dyDescent="0.35">
      <c r="B76" s="6" t="s">
        <v>91</v>
      </c>
      <c r="C76" s="6" t="s">
        <v>339</v>
      </c>
      <c r="D76" s="6" t="s">
        <v>467</v>
      </c>
      <c r="E76" s="6" t="s">
        <v>487</v>
      </c>
      <c r="F76" s="6" t="s">
        <v>488</v>
      </c>
    </row>
    <row r="77" spans="2:15" ht="90" customHeight="1" x14ac:dyDescent="0.35">
      <c r="B77" s="5" t="s">
        <v>215</v>
      </c>
      <c r="C77" s="5" t="s">
        <v>350</v>
      </c>
      <c r="D77" s="5" t="s">
        <v>489</v>
      </c>
      <c r="E77" s="5" t="s">
        <v>351</v>
      </c>
      <c r="F77" s="5" t="s">
        <v>490</v>
      </c>
      <c r="G77" s="5"/>
    </row>
    <row r="78" spans="2:15" ht="56" x14ac:dyDescent="0.35">
      <c r="B78" s="6" t="s">
        <v>357</v>
      </c>
      <c r="C78" s="6" t="s">
        <v>355</v>
      </c>
      <c r="D78" s="6" t="s">
        <v>491</v>
      </c>
      <c r="E78" s="6" t="s">
        <v>357</v>
      </c>
      <c r="F78" s="6" t="s">
        <v>492</v>
      </c>
    </row>
    <row r="79" spans="2:15" s="9" customFormat="1" ht="84.5" thickBot="1" x14ac:dyDescent="0.4">
      <c r="B79" s="9" t="s">
        <v>111</v>
      </c>
      <c r="C79" s="9" t="s">
        <v>361</v>
      </c>
      <c r="D79" s="9" t="s">
        <v>467</v>
      </c>
      <c r="E79" s="9" t="s">
        <v>493</v>
      </c>
      <c r="F79" s="9" t="s">
        <v>494</v>
      </c>
    </row>
  </sheetData>
  <mergeCells count="14">
    <mergeCell ref="B9:C9"/>
    <mergeCell ref="B70:E70"/>
    <mergeCell ref="B10:E10"/>
    <mergeCell ref="B11:E11"/>
    <mergeCell ref="B12:E12"/>
    <mergeCell ref="B13:E13"/>
    <mergeCell ref="B14:E14"/>
    <mergeCell ref="B16:E16"/>
    <mergeCell ref="B18:E18"/>
    <mergeCell ref="B21:E21"/>
    <mergeCell ref="B39:E39"/>
    <mergeCell ref="B17:E17"/>
    <mergeCell ref="B19:E19"/>
    <mergeCell ref="B15:E15"/>
  </mergeCells>
  <hyperlinks>
    <hyperlink ref="B16:D16" location="'Monthly Data Measures'!A37" display="Table 2: Dimensions: The definition of each dimension within this publication." xr:uid="{00000000-0004-0000-0200-000001000000}"/>
    <hyperlink ref="B16:E16" location="'Monthly Core Data Measures'!A39" display="Table 3: Dimensions: The definition of each dimension within this publication." xr:uid="{8D18607B-85B1-483B-A115-390C6FA61121}"/>
    <hyperlink ref="B18:E18" location="'Monthly Core Data Measures'!A70" display="Table 4: Counts: A definition of each different type of count used in this publication" xr:uid="{B86138BD-0810-45B4-95FE-76BB1FA43C99}"/>
    <hyperlink ref="B9" location="Cover!A1" display="Back to contents" xr:uid="{0ADA9EDC-9748-4B3C-868F-D7A1736BDE18}"/>
    <hyperlink ref="B14:E14" location="'Monthly Core Data Measures'!A21" display="Table 1: Fields: A broad description of each field within the CSDS CSV file" xr:uid="{B875FEF3-7765-4CAD-A93E-201892772B2C}"/>
    <hyperlink ref="B15:E15" location="'Monthly HV Data Measures'!A22" display="Table 2: Fields: A broad description of each field within the CSDS HV file" xr:uid="{DD89DA22-A896-4D72-9987-DCBEA172727A}"/>
  </hyperlinks>
  <pageMargins left="0.23622047244094491" right="0.23622047244094491" top="0.19685039370078741" bottom="0.35433070866141736" header="0.19685039370078741" footer="0.31496062992125984"/>
  <pageSetup paperSize="8" scale="56" fitToHeight="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69756-D733-4340-928A-F5E7D84BB28F}">
  <sheetPr>
    <tabColor rgb="FFFF0000"/>
  </sheetPr>
  <dimension ref="A2:Q33"/>
  <sheetViews>
    <sheetView showGridLines="0" topLeftCell="B1" zoomScale="80" zoomScaleNormal="80" workbookViewId="0">
      <pane xSplit="4" ySplit="10" topLeftCell="G11" activePane="bottomRight" state="frozen"/>
      <selection sqref="A1:D1"/>
      <selection pane="topRight" sqref="A1:D1"/>
      <selection pane="bottomLeft" sqref="A1:D1"/>
      <selection pane="bottomRight" sqref="A1:D1"/>
    </sheetView>
  </sheetViews>
  <sheetFormatPr defaultRowHeight="14.5" x14ac:dyDescent="0.35"/>
  <cols>
    <col min="1" max="1" width="33.54296875" customWidth="1"/>
    <col min="2" max="2" width="49.453125" customWidth="1"/>
    <col min="3" max="5" width="33.54296875" customWidth="1"/>
    <col min="6" max="6" width="101.90625" customWidth="1"/>
    <col min="7" max="7" width="93.453125" customWidth="1"/>
    <col min="8" max="8" width="33.54296875" customWidth="1"/>
  </cols>
  <sheetData>
    <row r="2" spans="1:17" x14ac:dyDescent="0.35">
      <c r="B2" s="259" t="s">
        <v>24</v>
      </c>
      <c r="C2" s="259"/>
    </row>
    <row r="3" spans="1:17" s="6" customFormat="1" ht="33.9" customHeight="1" x14ac:dyDescent="0.35">
      <c r="B3" s="252" t="str">
        <f>Cover!B7</f>
        <v>Community Services Statistics</v>
      </c>
      <c r="C3" s="252"/>
      <c r="D3" s="252"/>
      <c r="E3" s="252"/>
      <c r="F3" s="252"/>
      <c r="G3" s="252"/>
      <c r="H3" s="252"/>
      <c r="I3" s="252"/>
      <c r="J3" s="252"/>
      <c r="K3" s="252"/>
      <c r="L3" s="252"/>
      <c r="M3" s="252"/>
      <c r="N3" s="252"/>
      <c r="O3" s="252"/>
      <c r="P3" s="252"/>
      <c r="Q3" s="252"/>
    </row>
    <row r="4" spans="1:17" s="8" customFormat="1" ht="26.25" customHeight="1" x14ac:dyDescent="0.3">
      <c r="B4" s="253" t="str">
        <f>Cover!B16</f>
        <v>Table 1b Dimensions</v>
      </c>
      <c r="C4" s="253"/>
      <c r="D4" s="253"/>
      <c r="E4" s="253"/>
      <c r="F4" s="253"/>
      <c r="G4" s="253"/>
      <c r="H4" s="253"/>
      <c r="I4" s="253"/>
      <c r="J4" s="253"/>
      <c r="K4" s="253"/>
      <c r="L4" s="253"/>
      <c r="M4" s="253"/>
      <c r="N4" s="253"/>
      <c r="O4" s="253"/>
      <c r="P4" s="253"/>
      <c r="Q4" s="253"/>
    </row>
    <row r="9" spans="1:17" ht="44.15" customHeight="1" x14ac:dyDescent="0.35">
      <c r="A9" s="290" t="s">
        <v>41</v>
      </c>
      <c r="B9" s="142" t="s">
        <v>42</v>
      </c>
      <c r="C9" s="143" t="s">
        <v>43</v>
      </c>
      <c r="D9" s="143" t="s">
        <v>44</v>
      </c>
      <c r="E9" s="143" t="s">
        <v>45</v>
      </c>
      <c r="F9" s="143" t="s">
        <v>53</v>
      </c>
      <c r="G9" s="144" t="s">
        <v>48</v>
      </c>
      <c r="H9" s="141" t="s">
        <v>49</v>
      </c>
    </row>
    <row r="10" spans="1:17" ht="98.4" customHeight="1" x14ac:dyDescent="0.35">
      <c r="A10" s="291"/>
      <c r="B10" s="145"/>
      <c r="C10" s="146" t="s">
        <v>50</v>
      </c>
      <c r="D10" s="146" t="s">
        <v>51</v>
      </c>
      <c r="E10" s="146"/>
      <c r="F10" s="146" t="s">
        <v>52</v>
      </c>
      <c r="G10" s="147"/>
      <c r="H10" s="139"/>
    </row>
    <row r="11" spans="1:17" ht="98.4" customHeight="1" x14ac:dyDescent="0.35">
      <c r="A11" s="122" t="s">
        <v>54</v>
      </c>
      <c r="B11" s="126" t="s">
        <v>55</v>
      </c>
      <c r="C11" s="68" t="s">
        <v>56</v>
      </c>
      <c r="D11" s="129" t="s">
        <v>57</v>
      </c>
      <c r="E11" s="68" t="s">
        <v>58</v>
      </c>
      <c r="F11" s="69" t="s">
        <v>891</v>
      </c>
      <c r="G11" s="69" t="s">
        <v>61</v>
      </c>
      <c r="H11" s="126"/>
    </row>
    <row r="12" spans="1:17" s="151" customFormat="1" ht="61.5" customHeight="1" x14ac:dyDescent="0.35">
      <c r="A12" s="148" t="s">
        <v>54</v>
      </c>
      <c r="B12" s="149" t="s">
        <v>76</v>
      </c>
      <c r="C12" s="152" t="s">
        <v>77</v>
      </c>
      <c r="D12" s="152" t="s">
        <v>78</v>
      </c>
      <c r="E12" s="152" t="s">
        <v>79</v>
      </c>
      <c r="F12" s="149" t="s">
        <v>892</v>
      </c>
      <c r="G12" s="149" t="s">
        <v>82</v>
      </c>
      <c r="H12" s="150"/>
    </row>
    <row r="13" spans="1:17" ht="361.5" customHeight="1" x14ac:dyDescent="0.35">
      <c r="A13" s="122" t="s">
        <v>54</v>
      </c>
      <c r="B13" s="126" t="s">
        <v>88</v>
      </c>
      <c r="C13" s="68" t="s">
        <v>89</v>
      </c>
      <c r="D13" s="126" t="s">
        <v>90</v>
      </c>
      <c r="E13" s="68" t="s">
        <v>91</v>
      </c>
      <c r="F13" s="69" t="s">
        <v>893</v>
      </c>
      <c r="G13" s="69" t="s">
        <v>908</v>
      </c>
      <c r="H13" s="126"/>
    </row>
    <row r="14" spans="1:17" ht="290.14999999999998" customHeight="1" x14ac:dyDescent="0.35">
      <c r="A14" s="125" t="s">
        <v>54</v>
      </c>
      <c r="B14" s="150" t="s">
        <v>109</v>
      </c>
      <c r="C14" s="149" t="s">
        <v>89</v>
      </c>
      <c r="D14" s="153" t="s">
        <v>110</v>
      </c>
      <c r="E14" s="149" t="s">
        <v>111</v>
      </c>
      <c r="F14" s="153" t="s">
        <v>894</v>
      </c>
      <c r="G14" s="149" t="s">
        <v>909</v>
      </c>
      <c r="H14" s="150"/>
    </row>
    <row r="15" spans="1:17" ht="362.15" customHeight="1" x14ac:dyDescent="0.35">
      <c r="A15" s="122" t="s">
        <v>54</v>
      </c>
      <c r="B15" s="68" t="s">
        <v>124</v>
      </c>
      <c r="C15" s="68" t="s">
        <v>911</v>
      </c>
      <c r="D15" s="126" t="s">
        <v>90</v>
      </c>
      <c r="E15" s="68" t="s">
        <v>111</v>
      </c>
      <c r="F15" s="69" t="s">
        <v>895</v>
      </c>
      <c r="G15" s="69" t="s">
        <v>910</v>
      </c>
      <c r="H15" s="126"/>
    </row>
    <row r="16" spans="1:17" ht="61.5" customHeight="1" x14ac:dyDescent="0.35">
      <c r="A16" s="122" t="s">
        <v>54</v>
      </c>
      <c r="B16" s="154" t="s">
        <v>136</v>
      </c>
      <c r="C16" s="149" t="s">
        <v>137</v>
      </c>
      <c r="D16" s="153" t="s">
        <v>78</v>
      </c>
      <c r="E16" s="149" t="s">
        <v>58</v>
      </c>
      <c r="F16" s="149" t="s">
        <v>896</v>
      </c>
      <c r="G16" s="154"/>
      <c r="H16" s="154"/>
    </row>
    <row r="17" spans="1:8" ht="61.5" customHeight="1" x14ac:dyDescent="0.35">
      <c r="A17" s="122" t="s">
        <v>54</v>
      </c>
      <c r="B17" s="126" t="s">
        <v>145</v>
      </c>
      <c r="C17" s="128" t="s">
        <v>146</v>
      </c>
      <c r="D17" s="69" t="s">
        <v>78</v>
      </c>
      <c r="E17" s="128" t="s">
        <v>58</v>
      </c>
      <c r="F17" s="69" t="s">
        <v>897</v>
      </c>
      <c r="G17" s="126"/>
      <c r="H17" s="126"/>
    </row>
    <row r="18" spans="1:8" ht="61.5" customHeight="1" x14ac:dyDescent="0.35">
      <c r="A18" s="122"/>
      <c r="B18" s="154" t="s">
        <v>170</v>
      </c>
      <c r="C18" s="149" t="s">
        <v>171</v>
      </c>
      <c r="D18" s="153" t="s">
        <v>110</v>
      </c>
      <c r="E18" s="149" t="s">
        <v>172</v>
      </c>
      <c r="F18" s="153" t="s">
        <v>898</v>
      </c>
      <c r="G18" s="154"/>
      <c r="H18" s="154"/>
    </row>
    <row r="19" spans="1:8" ht="61.5" customHeight="1" x14ac:dyDescent="0.35">
      <c r="A19" s="122" t="s">
        <v>54</v>
      </c>
      <c r="B19" s="126" t="s">
        <v>179</v>
      </c>
      <c r="C19" s="68" t="s">
        <v>180</v>
      </c>
      <c r="D19" s="126" t="s">
        <v>90</v>
      </c>
      <c r="E19" s="68" t="s">
        <v>111</v>
      </c>
      <c r="F19" s="69" t="s">
        <v>899</v>
      </c>
      <c r="G19" s="69" t="s">
        <v>182</v>
      </c>
      <c r="H19" s="126"/>
    </row>
    <row r="20" spans="1:8" ht="61.5" customHeight="1" x14ac:dyDescent="0.35">
      <c r="A20" s="122" t="s">
        <v>187</v>
      </c>
      <c r="B20" s="154" t="s">
        <v>188</v>
      </c>
      <c r="C20" s="150"/>
      <c r="D20" s="153" t="s">
        <v>912</v>
      </c>
      <c r="E20" s="149" t="s">
        <v>190</v>
      </c>
      <c r="F20" s="138" t="s">
        <v>900</v>
      </c>
      <c r="G20" s="154"/>
      <c r="H20" s="154"/>
    </row>
    <row r="21" spans="1:8" ht="61.5" customHeight="1" x14ac:dyDescent="0.35">
      <c r="A21" s="122"/>
      <c r="B21" s="126" t="s">
        <v>196</v>
      </c>
      <c r="C21" s="128"/>
      <c r="D21" s="69" t="s">
        <v>913</v>
      </c>
      <c r="E21" s="128" t="s">
        <v>198</v>
      </c>
      <c r="F21" s="69" t="s">
        <v>901</v>
      </c>
      <c r="G21" s="69" t="s">
        <v>200</v>
      </c>
      <c r="H21" s="126"/>
    </row>
    <row r="22" spans="1:8" ht="61.5" customHeight="1" x14ac:dyDescent="0.35">
      <c r="A22" s="122"/>
      <c r="B22" s="154" t="s">
        <v>204</v>
      </c>
      <c r="C22" s="155"/>
      <c r="D22" s="153" t="s">
        <v>78</v>
      </c>
      <c r="E22" s="155" t="s">
        <v>58</v>
      </c>
      <c r="F22" s="153" t="s">
        <v>879</v>
      </c>
      <c r="G22" s="154"/>
      <c r="H22" s="154"/>
    </row>
    <row r="23" spans="1:8" ht="61.5" customHeight="1" x14ac:dyDescent="0.35">
      <c r="A23" s="125"/>
      <c r="B23" s="125" t="s">
        <v>205</v>
      </c>
      <c r="C23" s="125"/>
      <c r="D23" s="125"/>
      <c r="E23" s="156" t="s">
        <v>914</v>
      </c>
      <c r="F23" s="68" t="s">
        <v>882</v>
      </c>
      <c r="G23" s="125"/>
      <c r="H23" s="125"/>
    </row>
    <row r="24" spans="1:8" ht="61.5" customHeight="1" x14ac:dyDescent="0.35">
      <c r="A24" s="122"/>
      <c r="B24" s="154" t="s">
        <v>209</v>
      </c>
      <c r="C24" s="150"/>
      <c r="D24" s="158" t="s">
        <v>78</v>
      </c>
      <c r="E24" s="149" t="s">
        <v>79</v>
      </c>
      <c r="F24" s="153"/>
      <c r="G24" s="154"/>
      <c r="H24" s="154"/>
    </row>
    <row r="25" spans="1:8" ht="61.5" customHeight="1" x14ac:dyDescent="0.35">
      <c r="A25" s="122"/>
      <c r="B25" s="166" t="s">
        <v>210</v>
      </c>
      <c r="C25" s="157"/>
      <c r="D25" s="127" t="s">
        <v>57</v>
      </c>
      <c r="E25" s="68" t="s">
        <v>211</v>
      </c>
      <c r="F25" s="69" t="s">
        <v>880</v>
      </c>
      <c r="G25" s="126"/>
      <c r="H25" s="126"/>
    </row>
    <row r="26" spans="1:8" ht="61.5" customHeight="1" x14ac:dyDescent="0.35">
      <c r="A26" s="122"/>
      <c r="B26" s="154" t="s">
        <v>214</v>
      </c>
      <c r="C26" s="159"/>
      <c r="D26" s="153" t="s">
        <v>915</v>
      </c>
      <c r="E26" s="149" t="s">
        <v>215</v>
      </c>
      <c r="F26" s="153" t="s">
        <v>902</v>
      </c>
      <c r="G26" s="153" t="s">
        <v>216</v>
      </c>
      <c r="H26" s="154"/>
    </row>
    <row r="27" spans="1:8" ht="61.5" customHeight="1" x14ac:dyDescent="0.35">
      <c r="A27" s="122"/>
      <c r="B27" s="126" t="s">
        <v>223</v>
      </c>
      <c r="C27" s="68" t="s">
        <v>224</v>
      </c>
      <c r="D27" s="69" t="s">
        <v>916</v>
      </c>
      <c r="E27" s="68" t="s">
        <v>198</v>
      </c>
      <c r="F27" s="69" t="s">
        <v>903</v>
      </c>
      <c r="G27" s="69" t="s">
        <v>917</v>
      </c>
      <c r="H27" s="126"/>
    </row>
    <row r="28" spans="1:8" ht="61.5" customHeight="1" x14ac:dyDescent="0.35">
      <c r="A28" s="122"/>
      <c r="B28" s="160" t="s">
        <v>230</v>
      </c>
      <c r="C28" s="140" t="s">
        <v>231</v>
      </c>
      <c r="D28" s="153" t="s">
        <v>78</v>
      </c>
      <c r="E28" s="140" t="s">
        <v>58</v>
      </c>
      <c r="F28" s="153" t="s">
        <v>904</v>
      </c>
      <c r="G28" s="160"/>
      <c r="H28" s="160"/>
    </row>
    <row r="29" spans="1:8" ht="135.9" customHeight="1" x14ac:dyDescent="0.35">
      <c r="A29" s="161"/>
      <c r="B29" s="167" t="s">
        <v>234</v>
      </c>
      <c r="C29" s="162" t="s">
        <v>235</v>
      </c>
      <c r="D29" s="163" t="s">
        <v>78</v>
      </c>
      <c r="E29" s="162" t="s">
        <v>58</v>
      </c>
      <c r="F29" s="162" t="s">
        <v>905</v>
      </c>
      <c r="G29" s="163" t="s">
        <v>918</v>
      </c>
      <c r="H29" s="162" t="s">
        <v>237</v>
      </c>
    </row>
    <row r="30" spans="1:8" ht="61.5" customHeight="1" x14ac:dyDescent="0.35">
      <c r="A30" s="122"/>
      <c r="B30" s="160" t="s">
        <v>251</v>
      </c>
      <c r="C30" s="141" t="s">
        <v>252</v>
      </c>
      <c r="D30" s="160" t="s">
        <v>90</v>
      </c>
      <c r="E30" s="140" t="s">
        <v>91</v>
      </c>
      <c r="F30" s="164" t="s">
        <v>881</v>
      </c>
      <c r="G30" s="165" t="s">
        <v>919</v>
      </c>
      <c r="H30" s="160"/>
    </row>
    <row r="31" spans="1:8" ht="61.5" customHeight="1" x14ac:dyDescent="0.35">
      <c r="A31" s="122"/>
      <c r="B31" s="126" t="s">
        <v>256</v>
      </c>
      <c r="C31" s="68" t="s">
        <v>257</v>
      </c>
      <c r="D31" s="126" t="s">
        <v>90</v>
      </c>
      <c r="E31" s="68" t="s">
        <v>111</v>
      </c>
      <c r="F31" s="69" t="s">
        <v>883</v>
      </c>
      <c r="G31" s="69" t="s">
        <v>920</v>
      </c>
      <c r="H31" s="126"/>
    </row>
    <row r="32" spans="1:8" ht="61.5" customHeight="1" x14ac:dyDescent="0.35">
      <c r="A32" s="122"/>
      <c r="B32" s="160" t="s">
        <v>261</v>
      </c>
      <c r="C32" s="140" t="s">
        <v>262</v>
      </c>
      <c r="D32" s="164" t="s">
        <v>263</v>
      </c>
      <c r="E32" s="140" t="s">
        <v>91</v>
      </c>
      <c r="F32" s="164" t="s">
        <v>906</v>
      </c>
      <c r="G32" s="165" t="s">
        <v>921</v>
      </c>
      <c r="H32" s="160"/>
    </row>
    <row r="33" spans="1:8" ht="61.5" customHeight="1" x14ac:dyDescent="0.35">
      <c r="A33" s="122"/>
      <c r="B33" s="126" t="s">
        <v>295</v>
      </c>
      <c r="C33" s="68" t="s">
        <v>296</v>
      </c>
      <c r="D33" s="126" t="s">
        <v>90</v>
      </c>
      <c r="E33" s="68" t="s">
        <v>111</v>
      </c>
      <c r="F33" s="69" t="s">
        <v>907</v>
      </c>
      <c r="G33" s="69" t="s">
        <v>922</v>
      </c>
      <c r="H33" s="126"/>
    </row>
  </sheetData>
  <mergeCells count="4">
    <mergeCell ref="A9:A10"/>
    <mergeCell ref="B2:C2"/>
    <mergeCell ref="B3:Q3"/>
    <mergeCell ref="B4:Q4"/>
  </mergeCells>
  <hyperlinks>
    <hyperlink ref="B2" location="Cover!A1" display="Back to contents" xr:uid="{F1510E55-690F-4542-989E-EF893F6B96ED}"/>
  </hyperlink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DE73F-4472-4B7D-B40A-613CA33A30F0}">
  <sheetPr>
    <tabColor rgb="FFFFFF00"/>
  </sheetPr>
  <dimension ref="A1:I241"/>
  <sheetViews>
    <sheetView topLeftCell="B1" zoomScale="80" zoomScaleNormal="80" workbookViewId="0">
      <pane xSplit="4" ySplit="3" topLeftCell="F237" activePane="bottomRight" state="frozen"/>
      <selection sqref="A1:D1"/>
      <selection pane="topRight" sqref="A1:D1"/>
      <selection pane="bottomLeft" sqref="A1:D1"/>
      <selection pane="bottomRight" sqref="A1:D1"/>
    </sheetView>
  </sheetViews>
  <sheetFormatPr defaultRowHeight="14.5" x14ac:dyDescent="0.35"/>
  <cols>
    <col min="1" max="9" width="33.54296875" customWidth="1"/>
  </cols>
  <sheetData>
    <row r="1" spans="1:9" ht="15.5" x14ac:dyDescent="0.35">
      <c r="A1" s="290" t="s">
        <v>41</v>
      </c>
      <c r="B1" s="358" t="s">
        <v>42</v>
      </c>
      <c r="C1" s="59" t="s">
        <v>43</v>
      </c>
      <c r="D1" s="59" t="s">
        <v>44</v>
      </c>
      <c r="E1" s="361" t="s">
        <v>45</v>
      </c>
      <c r="F1" s="62" t="s">
        <v>46</v>
      </c>
      <c r="G1" s="65" t="s">
        <v>47</v>
      </c>
      <c r="H1" s="364" t="s">
        <v>48</v>
      </c>
      <c r="I1" s="358" t="s">
        <v>49</v>
      </c>
    </row>
    <row r="2" spans="1:9" ht="98.4" customHeight="1" x14ac:dyDescent="0.35">
      <c r="A2" s="291"/>
      <c r="B2" s="359"/>
      <c r="C2" s="60" t="s">
        <v>50</v>
      </c>
      <c r="D2" s="60" t="s">
        <v>51</v>
      </c>
      <c r="E2" s="362"/>
      <c r="F2" s="63" t="s">
        <v>52</v>
      </c>
      <c r="G2" s="66" t="s">
        <v>53</v>
      </c>
      <c r="H2" s="365"/>
      <c r="I2" s="359"/>
    </row>
    <row r="3" spans="1:9" ht="98.4" customHeight="1" x14ac:dyDescent="0.35">
      <c r="A3" s="331"/>
      <c r="B3" s="360"/>
      <c r="C3" s="61"/>
      <c r="D3" s="61"/>
      <c r="E3" s="363"/>
      <c r="F3" s="64"/>
      <c r="G3" s="67" t="s">
        <v>52</v>
      </c>
      <c r="H3" s="366"/>
      <c r="I3" s="360"/>
    </row>
    <row r="4" spans="1:9" ht="98.4" customHeight="1" x14ac:dyDescent="0.35">
      <c r="A4" s="292" t="s">
        <v>54</v>
      </c>
      <c r="B4" s="328" t="s">
        <v>55</v>
      </c>
      <c r="C4" s="332" t="s">
        <v>56</v>
      </c>
      <c r="D4" s="367" t="s">
        <v>57</v>
      </c>
      <c r="E4" s="332" t="s">
        <v>58</v>
      </c>
      <c r="F4" s="69" t="s">
        <v>59</v>
      </c>
      <c r="G4" s="69" t="s">
        <v>60</v>
      </c>
      <c r="H4" s="325" t="s">
        <v>61</v>
      </c>
      <c r="I4" s="328"/>
    </row>
    <row r="5" spans="1:9" ht="98.4" customHeight="1" x14ac:dyDescent="0.35">
      <c r="A5" s="293"/>
      <c r="B5" s="329"/>
      <c r="C5" s="333"/>
      <c r="D5" s="335"/>
      <c r="E5" s="333"/>
      <c r="F5" s="70" t="s">
        <v>62</v>
      </c>
      <c r="G5" s="70" t="s">
        <v>63</v>
      </c>
      <c r="H5" s="326"/>
      <c r="I5" s="329"/>
    </row>
    <row r="6" spans="1:9" ht="98.4" customHeight="1" x14ac:dyDescent="0.35">
      <c r="A6" s="293"/>
      <c r="B6" s="329"/>
      <c r="C6" s="333"/>
      <c r="D6" s="335"/>
      <c r="E6" s="333"/>
      <c r="F6" s="70" t="s">
        <v>64</v>
      </c>
      <c r="G6" s="70" t="s">
        <v>62</v>
      </c>
      <c r="H6" s="326"/>
      <c r="I6" s="329"/>
    </row>
    <row r="7" spans="1:9" ht="61.5" customHeight="1" x14ac:dyDescent="0.35">
      <c r="A7" s="293"/>
      <c r="B7" s="329"/>
      <c r="C7" s="333"/>
      <c r="D7" s="335"/>
      <c r="E7" s="333"/>
      <c r="F7" s="70" t="s">
        <v>65</v>
      </c>
      <c r="G7" s="70" t="s">
        <v>66</v>
      </c>
      <c r="H7" s="326"/>
      <c r="I7" s="329"/>
    </row>
    <row r="8" spans="1:9" ht="61.5" customHeight="1" x14ac:dyDescent="0.35">
      <c r="A8" s="293"/>
      <c r="B8" s="329"/>
      <c r="C8" s="333"/>
      <c r="D8" s="335"/>
      <c r="E8" s="333"/>
      <c r="F8" s="70" t="s">
        <v>67</v>
      </c>
      <c r="G8" s="70" t="s">
        <v>68</v>
      </c>
      <c r="H8" s="326"/>
      <c r="I8" s="329"/>
    </row>
    <row r="9" spans="1:9" ht="61.5" customHeight="1" x14ac:dyDescent="0.35">
      <c r="A9" s="293"/>
      <c r="B9" s="329"/>
      <c r="C9" s="333"/>
      <c r="D9" s="335"/>
      <c r="E9" s="333"/>
      <c r="F9" s="70" t="s">
        <v>69</v>
      </c>
      <c r="G9" s="72"/>
      <c r="H9" s="326"/>
      <c r="I9" s="329"/>
    </row>
    <row r="10" spans="1:9" ht="61.5" customHeight="1" x14ac:dyDescent="0.35">
      <c r="A10" s="293"/>
      <c r="B10" s="329"/>
      <c r="C10" s="333"/>
      <c r="D10" s="335"/>
      <c r="E10" s="333"/>
      <c r="F10" s="70" t="s">
        <v>70</v>
      </c>
      <c r="G10" s="70" t="s">
        <v>71</v>
      </c>
      <c r="H10" s="326"/>
      <c r="I10" s="329"/>
    </row>
    <row r="11" spans="1:9" ht="61.5" customHeight="1" x14ac:dyDescent="0.35">
      <c r="A11" s="293"/>
      <c r="B11" s="329"/>
      <c r="C11" s="333"/>
      <c r="D11" s="335"/>
      <c r="E11" s="333"/>
      <c r="F11" s="70"/>
      <c r="G11" s="70" t="s">
        <v>72</v>
      </c>
      <c r="H11" s="326"/>
      <c r="I11" s="329"/>
    </row>
    <row r="12" spans="1:9" ht="61.5" customHeight="1" x14ac:dyDescent="0.35">
      <c r="A12" s="293"/>
      <c r="B12" s="329"/>
      <c r="C12" s="333"/>
      <c r="D12" s="335"/>
      <c r="E12" s="333"/>
      <c r="F12" s="70"/>
      <c r="G12" s="70" t="s">
        <v>73</v>
      </c>
      <c r="H12" s="326"/>
      <c r="I12" s="329"/>
    </row>
    <row r="13" spans="1:9" ht="61.5" customHeight="1" x14ac:dyDescent="0.35">
      <c r="A13" s="293"/>
      <c r="B13" s="329"/>
      <c r="C13" s="333"/>
      <c r="D13" s="335"/>
      <c r="E13" s="333"/>
      <c r="F13" s="70"/>
      <c r="G13" s="70" t="s">
        <v>74</v>
      </c>
      <c r="H13" s="326"/>
      <c r="I13" s="329"/>
    </row>
    <row r="14" spans="1:9" ht="61.5" customHeight="1" x14ac:dyDescent="0.35">
      <c r="A14" s="294"/>
      <c r="B14" s="330"/>
      <c r="C14" s="334"/>
      <c r="D14" s="335"/>
      <c r="E14" s="334"/>
      <c r="F14" s="71"/>
      <c r="G14" s="71" t="s">
        <v>75</v>
      </c>
      <c r="H14" s="327"/>
      <c r="I14" s="330"/>
    </row>
    <row r="15" spans="1:9" ht="61.5" customHeight="1" x14ac:dyDescent="0.35">
      <c r="A15" s="292" t="s">
        <v>54</v>
      </c>
      <c r="B15" s="332" t="s">
        <v>76</v>
      </c>
      <c r="C15" s="351" t="s">
        <v>77</v>
      </c>
      <c r="D15" s="338" t="s">
        <v>78</v>
      </c>
      <c r="E15" s="355" t="s">
        <v>79</v>
      </c>
      <c r="F15" s="68" t="s">
        <v>80</v>
      </c>
      <c r="G15" s="68" t="s">
        <v>81</v>
      </c>
      <c r="H15" s="332" t="s">
        <v>82</v>
      </c>
      <c r="I15" s="290"/>
    </row>
    <row r="16" spans="1:9" ht="61.5" customHeight="1" x14ac:dyDescent="0.35">
      <c r="A16" s="293"/>
      <c r="B16" s="333"/>
      <c r="C16" s="352"/>
      <c r="D16" s="338"/>
      <c r="E16" s="356"/>
      <c r="F16" s="73" t="s">
        <v>62</v>
      </c>
      <c r="G16" s="75"/>
      <c r="H16" s="333"/>
      <c r="I16" s="291"/>
    </row>
    <row r="17" spans="1:9" ht="61.5" customHeight="1" x14ac:dyDescent="0.35">
      <c r="A17" s="293"/>
      <c r="B17" s="333"/>
      <c r="C17" s="352"/>
      <c r="D17" s="338"/>
      <c r="E17" s="356"/>
      <c r="F17" s="73" t="s">
        <v>64</v>
      </c>
      <c r="G17" s="73" t="s">
        <v>62</v>
      </c>
      <c r="H17" s="333"/>
      <c r="I17" s="291"/>
    </row>
    <row r="18" spans="1:9" ht="61.5" customHeight="1" x14ac:dyDescent="0.35">
      <c r="A18" s="293"/>
      <c r="B18" s="333"/>
      <c r="C18" s="352"/>
      <c r="D18" s="338"/>
      <c r="E18" s="356"/>
      <c r="F18" s="73" t="s">
        <v>65</v>
      </c>
      <c r="G18" s="73" t="s">
        <v>66</v>
      </c>
      <c r="H18" s="333"/>
      <c r="I18" s="291"/>
    </row>
    <row r="19" spans="1:9" ht="61.5" customHeight="1" x14ac:dyDescent="0.35">
      <c r="A19" s="293"/>
      <c r="B19" s="333"/>
      <c r="C19" s="352"/>
      <c r="D19" s="338"/>
      <c r="E19" s="356"/>
      <c r="F19" s="73" t="s">
        <v>67</v>
      </c>
      <c r="G19" s="73" t="s">
        <v>68</v>
      </c>
      <c r="H19" s="333"/>
      <c r="I19" s="291"/>
    </row>
    <row r="20" spans="1:9" ht="61.5" customHeight="1" x14ac:dyDescent="0.35">
      <c r="A20" s="293"/>
      <c r="B20" s="333"/>
      <c r="C20" s="352"/>
      <c r="D20" s="338"/>
      <c r="E20" s="356"/>
      <c r="F20" s="73" t="s">
        <v>83</v>
      </c>
      <c r="G20" s="75"/>
      <c r="H20" s="333"/>
      <c r="I20" s="291"/>
    </row>
    <row r="21" spans="1:9" ht="61.5" customHeight="1" x14ac:dyDescent="0.35">
      <c r="A21" s="293"/>
      <c r="B21" s="333"/>
      <c r="C21" s="352"/>
      <c r="D21" s="338"/>
      <c r="E21" s="356"/>
      <c r="F21" s="73"/>
      <c r="G21" s="73" t="s">
        <v>84</v>
      </c>
      <c r="H21" s="333"/>
      <c r="I21" s="291"/>
    </row>
    <row r="22" spans="1:9" ht="61.5" customHeight="1" x14ac:dyDescent="0.35">
      <c r="A22" s="293"/>
      <c r="B22" s="333"/>
      <c r="C22" s="352"/>
      <c r="D22" s="338"/>
      <c r="E22" s="356"/>
      <c r="F22" s="73"/>
      <c r="G22" s="73" t="s">
        <v>85</v>
      </c>
      <c r="H22" s="333"/>
      <c r="I22" s="291"/>
    </row>
    <row r="23" spans="1:9" ht="61.5" customHeight="1" x14ac:dyDescent="0.35">
      <c r="A23" s="293"/>
      <c r="B23" s="333"/>
      <c r="C23" s="352"/>
      <c r="D23" s="338"/>
      <c r="E23" s="356"/>
      <c r="F23" s="73"/>
      <c r="G23" s="73" t="s">
        <v>86</v>
      </c>
      <c r="H23" s="333"/>
      <c r="I23" s="291"/>
    </row>
    <row r="24" spans="1:9" ht="61.5" customHeight="1" x14ac:dyDescent="0.35">
      <c r="A24" s="294"/>
      <c r="B24" s="334"/>
      <c r="C24" s="353"/>
      <c r="D24" s="354"/>
      <c r="E24" s="357"/>
      <c r="F24" s="74"/>
      <c r="G24" s="74" t="s">
        <v>87</v>
      </c>
      <c r="H24" s="334"/>
      <c r="I24" s="331"/>
    </row>
    <row r="25" spans="1:9" ht="61.5" customHeight="1" x14ac:dyDescent="0.35">
      <c r="A25" s="292" t="s">
        <v>54</v>
      </c>
      <c r="B25" s="301" t="s">
        <v>88</v>
      </c>
      <c r="C25" s="313" t="s">
        <v>89</v>
      </c>
      <c r="D25" s="301" t="s">
        <v>90</v>
      </c>
      <c r="E25" s="313" t="s">
        <v>91</v>
      </c>
      <c r="F25" s="76" t="s">
        <v>92</v>
      </c>
      <c r="G25" s="76" t="s">
        <v>93</v>
      </c>
      <c r="H25" s="69" t="s">
        <v>94</v>
      </c>
      <c r="I25" s="328"/>
    </row>
    <row r="26" spans="1:9" ht="61.5" customHeight="1" x14ac:dyDescent="0.35">
      <c r="A26" s="293"/>
      <c r="B26" s="302"/>
      <c r="C26" s="314"/>
      <c r="D26" s="302"/>
      <c r="E26" s="314"/>
      <c r="F26" s="77" t="s">
        <v>62</v>
      </c>
      <c r="G26" s="79"/>
      <c r="H26" s="72"/>
      <c r="I26" s="329"/>
    </row>
    <row r="27" spans="1:9" ht="61.5" customHeight="1" x14ac:dyDescent="0.35">
      <c r="A27" s="293"/>
      <c r="B27" s="302"/>
      <c r="C27" s="314"/>
      <c r="D27" s="302"/>
      <c r="E27" s="314"/>
      <c r="F27" s="77" t="s">
        <v>95</v>
      </c>
      <c r="G27" s="77" t="s">
        <v>62</v>
      </c>
      <c r="H27" s="70" t="s">
        <v>96</v>
      </c>
      <c r="I27" s="329"/>
    </row>
    <row r="28" spans="1:9" ht="61.5" customHeight="1" x14ac:dyDescent="0.35">
      <c r="A28" s="293"/>
      <c r="B28" s="302"/>
      <c r="C28" s="314"/>
      <c r="D28" s="302"/>
      <c r="E28" s="314"/>
      <c r="F28" s="77" t="s">
        <v>97</v>
      </c>
      <c r="G28" s="77" t="s">
        <v>98</v>
      </c>
      <c r="H28" s="70" t="s">
        <v>99</v>
      </c>
      <c r="I28" s="329"/>
    </row>
    <row r="29" spans="1:9" ht="61.5" customHeight="1" x14ac:dyDescent="0.35">
      <c r="A29" s="293"/>
      <c r="B29" s="302"/>
      <c r="C29" s="314"/>
      <c r="D29" s="302"/>
      <c r="E29" s="314"/>
      <c r="F29" s="77" t="s">
        <v>67</v>
      </c>
      <c r="G29" s="77" t="s">
        <v>100</v>
      </c>
      <c r="H29" s="72"/>
      <c r="I29" s="329"/>
    </row>
    <row r="30" spans="1:9" ht="61.5" customHeight="1" x14ac:dyDescent="0.35">
      <c r="A30" s="293"/>
      <c r="B30" s="302"/>
      <c r="C30" s="314"/>
      <c r="D30" s="302"/>
      <c r="E30" s="314"/>
      <c r="F30" s="77" t="s">
        <v>101</v>
      </c>
      <c r="G30" s="79"/>
      <c r="H30" s="80" t="s">
        <v>102</v>
      </c>
      <c r="I30" s="329"/>
    </row>
    <row r="31" spans="1:9" ht="61.5" customHeight="1" x14ac:dyDescent="0.35">
      <c r="A31" s="293"/>
      <c r="B31" s="302"/>
      <c r="C31" s="314"/>
      <c r="D31" s="302"/>
      <c r="E31" s="314"/>
      <c r="F31" s="77"/>
      <c r="G31" s="77" t="s">
        <v>103</v>
      </c>
      <c r="H31" s="72"/>
      <c r="I31" s="329"/>
    </row>
    <row r="32" spans="1:9" ht="61.5" customHeight="1" x14ac:dyDescent="0.35">
      <c r="A32" s="293"/>
      <c r="B32" s="302"/>
      <c r="C32" s="314"/>
      <c r="D32" s="302"/>
      <c r="E32" s="314"/>
      <c r="F32" s="77"/>
      <c r="G32" s="77" t="s">
        <v>104</v>
      </c>
      <c r="H32" s="70" t="s">
        <v>105</v>
      </c>
      <c r="I32" s="329"/>
    </row>
    <row r="33" spans="1:9" ht="61.5" customHeight="1" x14ac:dyDescent="0.35">
      <c r="A33" s="293"/>
      <c r="B33" s="302"/>
      <c r="C33" s="314"/>
      <c r="D33" s="302"/>
      <c r="E33" s="314"/>
      <c r="F33" s="77"/>
      <c r="G33" s="77" t="s">
        <v>87</v>
      </c>
      <c r="H33" s="70" t="s">
        <v>106</v>
      </c>
      <c r="I33" s="329"/>
    </row>
    <row r="34" spans="1:9" ht="61.5" customHeight="1" x14ac:dyDescent="0.35">
      <c r="A34" s="293"/>
      <c r="B34" s="302"/>
      <c r="C34" s="314"/>
      <c r="D34" s="302"/>
      <c r="E34" s="314"/>
      <c r="F34" s="77"/>
      <c r="G34" s="77"/>
      <c r="H34" s="70" t="s">
        <v>107</v>
      </c>
      <c r="I34" s="329"/>
    </row>
    <row r="35" spans="1:9" ht="61.5" customHeight="1" x14ac:dyDescent="0.35">
      <c r="A35" s="293"/>
      <c r="B35" s="302"/>
      <c r="C35" s="314"/>
      <c r="D35" s="302"/>
      <c r="E35" s="314"/>
      <c r="F35" s="77"/>
      <c r="G35" s="77"/>
      <c r="H35" s="70"/>
      <c r="I35" s="329"/>
    </row>
    <row r="36" spans="1:9" ht="61.5" customHeight="1" x14ac:dyDescent="0.35">
      <c r="A36" s="294"/>
      <c r="B36" s="303"/>
      <c r="C36" s="315"/>
      <c r="D36" s="303"/>
      <c r="E36" s="315"/>
      <c r="F36" s="78"/>
      <c r="G36" s="78"/>
      <c r="H36" s="71" t="s">
        <v>108</v>
      </c>
      <c r="I36" s="330"/>
    </row>
    <row r="37" spans="1:9" ht="61.5" customHeight="1" x14ac:dyDescent="0.35">
      <c r="A37" s="290" t="s">
        <v>54</v>
      </c>
      <c r="B37" s="290" t="s">
        <v>109</v>
      </c>
      <c r="C37" s="332" t="s">
        <v>89</v>
      </c>
      <c r="D37" s="76" t="s">
        <v>110</v>
      </c>
      <c r="E37" s="332" t="s">
        <v>111</v>
      </c>
      <c r="F37" s="290"/>
      <c r="G37" s="69" t="s">
        <v>112</v>
      </c>
      <c r="H37" s="68" t="s">
        <v>113</v>
      </c>
      <c r="I37" s="290"/>
    </row>
    <row r="38" spans="1:9" ht="61.5" customHeight="1" x14ac:dyDescent="0.35">
      <c r="A38" s="291"/>
      <c r="B38" s="291"/>
      <c r="C38" s="333"/>
      <c r="D38" s="77" t="s">
        <v>90</v>
      </c>
      <c r="E38" s="333"/>
      <c r="F38" s="291"/>
      <c r="G38" s="72"/>
      <c r="H38" s="75"/>
      <c r="I38" s="291"/>
    </row>
    <row r="39" spans="1:9" ht="61.5" customHeight="1" x14ac:dyDescent="0.35">
      <c r="A39" s="291"/>
      <c r="B39" s="291"/>
      <c r="C39" s="333"/>
      <c r="D39" s="77"/>
      <c r="E39" s="333"/>
      <c r="F39" s="291"/>
      <c r="G39" s="70" t="s">
        <v>114</v>
      </c>
      <c r="H39" s="73" t="s">
        <v>115</v>
      </c>
      <c r="I39" s="291"/>
    </row>
    <row r="40" spans="1:9" ht="61.5" customHeight="1" x14ac:dyDescent="0.35">
      <c r="A40" s="291"/>
      <c r="B40" s="291"/>
      <c r="C40" s="333"/>
      <c r="D40" s="77"/>
      <c r="E40" s="333"/>
      <c r="F40" s="291"/>
      <c r="G40" s="70" t="s">
        <v>62</v>
      </c>
      <c r="H40" s="73" t="s">
        <v>116</v>
      </c>
      <c r="I40" s="291"/>
    </row>
    <row r="41" spans="1:9" ht="61.5" customHeight="1" x14ac:dyDescent="0.35">
      <c r="A41" s="291"/>
      <c r="B41" s="291"/>
      <c r="C41" s="333"/>
      <c r="D41" s="77"/>
      <c r="E41" s="333"/>
      <c r="F41" s="291"/>
      <c r="G41" s="70" t="s">
        <v>98</v>
      </c>
      <c r="H41" s="75"/>
      <c r="I41" s="291"/>
    </row>
    <row r="42" spans="1:9" ht="61.5" customHeight="1" x14ac:dyDescent="0.35">
      <c r="A42" s="291"/>
      <c r="B42" s="291"/>
      <c r="C42" s="333"/>
      <c r="D42" s="77"/>
      <c r="E42" s="333"/>
      <c r="F42" s="291"/>
      <c r="G42" s="70" t="s">
        <v>100</v>
      </c>
      <c r="H42" s="73" t="s">
        <v>117</v>
      </c>
      <c r="I42" s="291"/>
    </row>
    <row r="43" spans="1:9" ht="61.5" customHeight="1" x14ac:dyDescent="0.35">
      <c r="A43" s="291"/>
      <c r="B43" s="291"/>
      <c r="C43" s="333"/>
      <c r="D43" s="77"/>
      <c r="E43" s="333"/>
      <c r="F43" s="291"/>
      <c r="G43" s="72"/>
      <c r="H43" s="75"/>
      <c r="I43" s="291"/>
    </row>
    <row r="44" spans="1:9" ht="61.5" customHeight="1" x14ac:dyDescent="0.35">
      <c r="A44" s="291"/>
      <c r="B44" s="291"/>
      <c r="C44" s="333"/>
      <c r="D44" s="77"/>
      <c r="E44" s="333"/>
      <c r="F44" s="291"/>
      <c r="G44" s="70" t="s">
        <v>103</v>
      </c>
      <c r="H44" s="75"/>
      <c r="I44" s="291"/>
    </row>
    <row r="45" spans="1:9" ht="61.5" customHeight="1" x14ac:dyDescent="0.35">
      <c r="A45" s="291"/>
      <c r="B45" s="291"/>
      <c r="C45" s="333"/>
      <c r="D45" s="77"/>
      <c r="E45" s="333"/>
      <c r="F45" s="291"/>
      <c r="G45" s="70" t="s">
        <v>72</v>
      </c>
      <c r="H45" s="73" t="s">
        <v>118</v>
      </c>
      <c r="I45" s="291"/>
    </row>
    <row r="46" spans="1:9" ht="61.5" customHeight="1" x14ac:dyDescent="0.35">
      <c r="A46" s="291"/>
      <c r="B46" s="291"/>
      <c r="C46" s="333"/>
      <c r="D46" s="77"/>
      <c r="E46" s="333"/>
      <c r="F46" s="291"/>
      <c r="G46" s="70" t="s">
        <v>73</v>
      </c>
      <c r="H46" s="73" t="s">
        <v>119</v>
      </c>
      <c r="I46" s="291"/>
    </row>
    <row r="47" spans="1:9" ht="61.5" customHeight="1" x14ac:dyDescent="0.35">
      <c r="A47" s="291"/>
      <c r="B47" s="291"/>
      <c r="C47" s="333"/>
      <c r="D47" s="77"/>
      <c r="E47" s="333"/>
      <c r="F47" s="291"/>
      <c r="G47" s="70" t="s">
        <v>120</v>
      </c>
      <c r="H47" s="73" t="s">
        <v>105</v>
      </c>
      <c r="I47" s="291"/>
    </row>
    <row r="48" spans="1:9" ht="61.5" customHeight="1" x14ac:dyDescent="0.35">
      <c r="A48" s="291"/>
      <c r="B48" s="291"/>
      <c r="C48" s="333"/>
      <c r="D48" s="77"/>
      <c r="E48" s="333"/>
      <c r="F48" s="291"/>
      <c r="G48" s="70" t="s">
        <v>75</v>
      </c>
      <c r="H48" s="73" t="s">
        <v>106</v>
      </c>
      <c r="I48" s="291"/>
    </row>
    <row r="49" spans="1:9" ht="61.5" customHeight="1" x14ac:dyDescent="0.35">
      <c r="A49" s="291"/>
      <c r="B49" s="291"/>
      <c r="C49" s="333"/>
      <c r="D49" s="77"/>
      <c r="E49" s="333"/>
      <c r="F49" s="291"/>
      <c r="G49" s="70"/>
      <c r="H49" s="73" t="s">
        <v>107</v>
      </c>
      <c r="I49" s="291"/>
    </row>
    <row r="50" spans="1:9" ht="61.5" customHeight="1" x14ac:dyDescent="0.35">
      <c r="A50" s="291"/>
      <c r="B50" s="291"/>
      <c r="C50" s="333"/>
      <c r="D50" s="77"/>
      <c r="E50" s="333"/>
      <c r="F50" s="291"/>
      <c r="G50" s="70"/>
      <c r="H50" s="73" t="s">
        <v>121</v>
      </c>
      <c r="I50" s="291"/>
    </row>
    <row r="51" spans="1:9" ht="61.5" customHeight="1" x14ac:dyDescent="0.35">
      <c r="A51" s="291"/>
      <c r="B51" s="291"/>
      <c r="C51" s="333"/>
      <c r="D51" s="77"/>
      <c r="E51" s="333"/>
      <c r="F51" s="291"/>
      <c r="G51" s="70"/>
      <c r="H51" s="73" t="s">
        <v>122</v>
      </c>
      <c r="I51" s="291"/>
    </row>
    <row r="52" spans="1:9" ht="61.5" customHeight="1" x14ac:dyDescent="0.35">
      <c r="A52" s="331"/>
      <c r="B52" s="331"/>
      <c r="C52" s="334"/>
      <c r="D52" s="78"/>
      <c r="E52" s="334"/>
      <c r="F52" s="331"/>
      <c r="G52" s="71"/>
      <c r="H52" s="74" t="s">
        <v>123</v>
      </c>
      <c r="I52" s="331"/>
    </row>
    <row r="53" spans="1:9" ht="61.5" customHeight="1" x14ac:dyDescent="0.35">
      <c r="A53" s="292" t="s">
        <v>54</v>
      </c>
      <c r="B53" s="332" t="s">
        <v>124</v>
      </c>
      <c r="C53" s="68" t="s">
        <v>125</v>
      </c>
      <c r="D53" s="301" t="s">
        <v>90</v>
      </c>
      <c r="E53" s="332" t="s">
        <v>111</v>
      </c>
      <c r="F53" s="348"/>
      <c r="G53" s="69" t="s">
        <v>112</v>
      </c>
      <c r="H53" s="69" t="s">
        <v>126</v>
      </c>
      <c r="I53" s="328"/>
    </row>
    <row r="54" spans="1:9" ht="61.5" customHeight="1" x14ac:dyDescent="0.35">
      <c r="A54" s="293"/>
      <c r="B54" s="333"/>
      <c r="C54" s="75"/>
      <c r="D54" s="302"/>
      <c r="E54" s="333"/>
      <c r="F54" s="349"/>
      <c r="G54" s="72"/>
      <c r="H54" s="70" t="s">
        <v>127</v>
      </c>
      <c r="I54" s="329"/>
    </row>
    <row r="55" spans="1:9" ht="61.5" customHeight="1" x14ac:dyDescent="0.35">
      <c r="A55" s="293"/>
      <c r="B55" s="333"/>
      <c r="C55" s="81" t="s">
        <v>128</v>
      </c>
      <c r="D55" s="302"/>
      <c r="E55" s="333"/>
      <c r="F55" s="349"/>
      <c r="G55" s="70" t="s">
        <v>114</v>
      </c>
      <c r="H55" s="70" t="s">
        <v>129</v>
      </c>
      <c r="I55" s="329"/>
    </row>
    <row r="56" spans="1:9" ht="61.5" customHeight="1" x14ac:dyDescent="0.35">
      <c r="A56" s="293"/>
      <c r="B56" s="333"/>
      <c r="C56" s="81" t="s">
        <v>130</v>
      </c>
      <c r="D56" s="302"/>
      <c r="E56" s="333"/>
      <c r="F56" s="349"/>
      <c r="G56" s="70" t="s">
        <v>62</v>
      </c>
      <c r="H56" s="70"/>
      <c r="I56" s="329"/>
    </row>
    <row r="57" spans="1:9" ht="61.5" customHeight="1" x14ac:dyDescent="0.35">
      <c r="A57" s="293"/>
      <c r="B57" s="333"/>
      <c r="C57" s="81" t="s">
        <v>131</v>
      </c>
      <c r="D57" s="302"/>
      <c r="E57" s="333"/>
      <c r="F57" s="349"/>
      <c r="G57" s="70" t="s">
        <v>98</v>
      </c>
      <c r="H57" s="70"/>
      <c r="I57" s="329"/>
    </row>
    <row r="58" spans="1:9" ht="61.5" customHeight="1" x14ac:dyDescent="0.35">
      <c r="A58" s="293"/>
      <c r="B58" s="333"/>
      <c r="C58" s="81" t="s">
        <v>132</v>
      </c>
      <c r="D58" s="302"/>
      <c r="E58" s="333"/>
      <c r="F58" s="349"/>
      <c r="G58" s="70" t="s">
        <v>100</v>
      </c>
      <c r="H58" s="70"/>
      <c r="I58" s="329"/>
    </row>
    <row r="59" spans="1:9" ht="61.5" customHeight="1" x14ac:dyDescent="0.35">
      <c r="A59" s="293"/>
      <c r="B59" s="333"/>
      <c r="C59" s="81"/>
      <c r="D59" s="302"/>
      <c r="E59" s="333"/>
      <c r="F59" s="349"/>
      <c r="G59" s="72"/>
      <c r="H59" s="70"/>
      <c r="I59" s="329"/>
    </row>
    <row r="60" spans="1:9" ht="61.5" customHeight="1" x14ac:dyDescent="0.35">
      <c r="A60" s="293"/>
      <c r="B60" s="333"/>
      <c r="C60" s="81"/>
      <c r="D60" s="302"/>
      <c r="E60" s="333"/>
      <c r="F60" s="349"/>
      <c r="G60" s="70" t="s">
        <v>133</v>
      </c>
      <c r="H60" s="70"/>
      <c r="I60" s="329"/>
    </row>
    <row r="61" spans="1:9" ht="61.5" customHeight="1" x14ac:dyDescent="0.35">
      <c r="A61" s="293"/>
      <c r="B61" s="333"/>
      <c r="C61" s="81"/>
      <c r="D61" s="302"/>
      <c r="E61" s="333"/>
      <c r="F61" s="349"/>
      <c r="G61" s="70" t="s">
        <v>134</v>
      </c>
      <c r="H61" s="70"/>
      <c r="I61" s="329"/>
    </row>
    <row r="62" spans="1:9" ht="61.5" customHeight="1" x14ac:dyDescent="0.35">
      <c r="A62" s="293"/>
      <c r="B62" s="333"/>
      <c r="C62" s="81"/>
      <c r="D62" s="302"/>
      <c r="E62" s="333"/>
      <c r="F62" s="349"/>
      <c r="G62" s="70" t="s">
        <v>135</v>
      </c>
      <c r="H62" s="70"/>
      <c r="I62" s="329"/>
    </row>
    <row r="63" spans="1:9" ht="61.5" customHeight="1" x14ac:dyDescent="0.35">
      <c r="A63" s="294"/>
      <c r="B63" s="334"/>
      <c r="C63" s="82"/>
      <c r="D63" s="303"/>
      <c r="E63" s="334"/>
      <c r="F63" s="350"/>
      <c r="G63" s="71" t="s">
        <v>75</v>
      </c>
      <c r="H63" s="71"/>
      <c r="I63" s="330"/>
    </row>
    <row r="64" spans="1:9" ht="61.5" customHeight="1" x14ac:dyDescent="0.35">
      <c r="A64" s="292" t="s">
        <v>54</v>
      </c>
      <c r="B64" s="328" t="s">
        <v>136</v>
      </c>
      <c r="C64" s="332" t="s">
        <v>137</v>
      </c>
      <c r="D64" s="325" t="s">
        <v>78</v>
      </c>
      <c r="E64" s="332" t="s">
        <v>58</v>
      </c>
      <c r="F64" s="69" t="s">
        <v>138</v>
      </c>
      <c r="G64" s="68" t="s">
        <v>60</v>
      </c>
      <c r="H64" s="328"/>
      <c r="I64" s="328"/>
    </row>
    <row r="65" spans="1:9" ht="61.5" customHeight="1" x14ac:dyDescent="0.35">
      <c r="A65" s="293"/>
      <c r="B65" s="329"/>
      <c r="C65" s="333"/>
      <c r="D65" s="326"/>
      <c r="E65" s="333"/>
      <c r="F65" s="70" t="s">
        <v>139</v>
      </c>
      <c r="G65" s="73" t="s">
        <v>63</v>
      </c>
      <c r="H65" s="329"/>
      <c r="I65" s="329"/>
    </row>
    <row r="66" spans="1:9" ht="61.5" customHeight="1" x14ac:dyDescent="0.35">
      <c r="A66" s="293"/>
      <c r="B66" s="329"/>
      <c r="C66" s="333"/>
      <c r="D66" s="326"/>
      <c r="E66" s="333"/>
      <c r="F66" s="70" t="s">
        <v>140</v>
      </c>
      <c r="G66" s="73" t="s">
        <v>62</v>
      </c>
      <c r="H66" s="329"/>
      <c r="I66" s="329"/>
    </row>
    <row r="67" spans="1:9" ht="61.5" customHeight="1" x14ac:dyDescent="0.35">
      <c r="A67" s="293"/>
      <c r="B67" s="329"/>
      <c r="C67" s="333"/>
      <c r="D67" s="326"/>
      <c r="E67" s="333"/>
      <c r="F67" s="70" t="s">
        <v>141</v>
      </c>
      <c r="G67" s="73" t="s">
        <v>66</v>
      </c>
      <c r="H67" s="329"/>
      <c r="I67" s="329"/>
    </row>
    <row r="68" spans="1:9" ht="61.5" customHeight="1" x14ac:dyDescent="0.35">
      <c r="A68" s="293"/>
      <c r="B68" s="329"/>
      <c r="C68" s="333"/>
      <c r="D68" s="326"/>
      <c r="E68" s="333"/>
      <c r="F68" s="70"/>
      <c r="G68" s="73" t="s">
        <v>68</v>
      </c>
      <c r="H68" s="329"/>
      <c r="I68" s="329"/>
    </row>
    <row r="69" spans="1:9" ht="61.5" customHeight="1" x14ac:dyDescent="0.35">
      <c r="A69" s="293"/>
      <c r="B69" s="329"/>
      <c r="C69" s="333"/>
      <c r="D69" s="326"/>
      <c r="E69" s="333"/>
      <c r="F69" s="70"/>
      <c r="G69" s="75"/>
      <c r="H69" s="329"/>
      <c r="I69" s="329"/>
    </row>
    <row r="70" spans="1:9" ht="61.5" customHeight="1" x14ac:dyDescent="0.35">
      <c r="A70" s="293"/>
      <c r="B70" s="329"/>
      <c r="C70" s="333"/>
      <c r="D70" s="326"/>
      <c r="E70" s="333"/>
      <c r="F70" s="70"/>
      <c r="G70" s="73" t="s">
        <v>142</v>
      </c>
      <c r="H70" s="329"/>
      <c r="I70" s="329"/>
    </row>
    <row r="71" spans="1:9" ht="61.5" customHeight="1" x14ac:dyDescent="0.35">
      <c r="A71" s="293"/>
      <c r="B71" s="329"/>
      <c r="C71" s="333"/>
      <c r="D71" s="326"/>
      <c r="E71" s="333"/>
      <c r="F71" s="70"/>
      <c r="G71" s="73" t="s">
        <v>138</v>
      </c>
      <c r="H71" s="329"/>
      <c r="I71" s="329"/>
    </row>
    <row r="72" spans="1:9" ht="61.5" customHeight="1" x14ac:dyDescent="0.35">
      <c r="A72" s="293"/>
      <c r="B72" s="329"/>
      <c r="C72" s="333"/>
      <c r="D72" s="326"/>
      <c r="E72" s="333"/>
      <c r="F72" s="70"/>
      <c r="G72" s="73" t="s">
        <v>143</v>
      </c>
      <c r="H72" s="329"/>
      <c r="I72" s="329"/>
    </row>
    <row r="73" spans="1:9" ht="61.5" customHeight="1" x14ac:dyDescent="0.35">
      <c r="A73" s="294"/>
      <c r="B73" s="330"/>
      <c r="C73" s="334"/>
      <c r="D73" s="327"/>
      <c r="E73" s="334"/>
      <c r="F73" s="71"/>
      <c r="G73" s="74" t="s">
        <v>144</v>
      </c>
      <c r="H73" s="330"/>
      <c r="I73" s="330"/>
    </row>
    <row r="74" spans="1:9" ht="61.5" customHeight="1" x14ac:dyDescent="0.35">
      <c r="A74" s="292" t="s">
        <v>54</v>
      </c>
      <c r="B74" s="328" t="s">
        <v>145</v>
      </c>
      <c r="C74" s="339" t="s">
        <v>146</v>
      </c>
      <c r="D74" s="325" t="s">
        <v>78</v>
      </c>
      <c r="E74" s="339" t="s">
        <v>58</v>
      </c>
      <c r="F74" s="83" t="s">
        <v>138</v>
      </c>
      <c r="G74" s="69" t="s">
        <v>147</v>
      </c>
      <c r="H74" s="328"/>
      <c r="I74" s="328"/>
    </row>
    <row r="75" spans="1:9" ht="61.5" customHeight="1" x14ac:dyDescent="0.35">
      <c r="A75" s="293"/>
      <c r="B75" s="329"/>
      <c r="C75" s="340"/>
      <c r="D75" s="326"/>
      <c r="E75" s="340"/>
      <c r="F75" s="84" t="s">
        <v>148</v>
      </c>
      <c r="G75" s="70" t="s">
        <v>149</v>
      </c>
      <c r="H75" s="329"/>
      <c r="I75" s="329"/>
    </row>
    <row r="76" spans="1:9" ht="61.5" customHeight="1" x14ac:dyDescent="0.35">
      <c r="A76" s="293"/>
      <c r="B76" s="329"/>
      <c r="C76" s="340"/>
      <c r="D76" s="326"/>
      <c r="E76" s="340"/>
      <c r="F76" s="84" t="s">
        <v>150</v>
      </c>
      <c r="G76" s="70" t="s">
        <v>151</v>
      </c>
      <c r="H76" s="329"/>
      <c r="I76" s="329"/>
    </row>
    <row r="77" spans="1:9" ht="61.5" customHeight="1" x14ac:dyDescent="0.35">
      <c r="A77" s="293"/>
      <c r="B77" s="329"/>
      <c r="C77" s="340"/>
      <c r="D77" s="326"/>
      <c r="E77" s="340"/>
      <c r="F77" s="84" t="s">
        <v>152</v>
      </c>
      <c r="G77" s="70" t="s">
        <v>153</v>
      </c>
      <c r="H77" s="329"/>
      <c r="I77" s="329"/>
    </row>
    <row r="78" spans="1:9" ht="61.5" customHeight="1" x14ac:dyDescent="0.35">
      <c r="A78" s="293"/>
      <c r="B78" s="329"/>
      <c r="C78" s="340"/>
      <c r="D78" s="326"/>
      <c r="E78" s="340"/>
      <c r="F78" s="84" t="s">
        <v>154</v>
      </c>
      <c r="G78" s="70" t="s">
        <v>155</v>
      </c>
      <c r="H78" s="329"/>
      <c r="I78" s="329"/>
    </row>
    <row r="79" spans="1:9" ht="61.5" customHeight="1" x14ac:dyDescent="0.35">
      <c r="A79" s="293"/>
      <c r="B79" s="329"/>
      <c r="C79" s="340"/>
      <c r="D79" s="326"/>
      <c r="E79" s="340"/>
      <c r="F79" s="84" t="s">
        <v>156</v>
      </c>
      <c r="G79" s="70" t="s">
        <v>157</v>
      </c>
      <c r="H79" s="329"/>
      <c r="I79" s="329"/>
    </row>
    <row r="80" spans="1:9" ht="61.5" customHeight="1" x14ac:dyDescent="0.35">
      <c r="A80" s="293"/>
      <c r="B80" s="329"/>
      <c r="C80" s="340"/>
      <c r="D80" s="326"/>
      <c r="E80" s="340"/>
      <c r="F80" s="84" t="s">
        <v>158</v>
      </c>
      <c r="G80" s="72"/>
      <c r="H80" s="329"/>
      <c r="I80" s="329"/>
    </row>
    <row r="81" spans="1:9" ht="61.5" customHeight="1" x14ac:dyDescent="0.35">
      <c r="A81" s="293"/>
      <c r="B81" s="329"/>
      <c r="C81" s="340"/>
      <c r="D81" s="326"/>
      <c r="E81" s="340"/>
      <c r="F81" s="84" t="s">
        <v>159</v>
      </c>
      <c r="G81" s="70" t="s">
        <v>60</v>
      </c>
      <c r="H81" s="329"/>
      <c r="I81" s="329"/>
    </row>
    <row r="82" spans="1:9" ht="61.5" customHeight="1" x14ac:dyDescent="0.35">
      <c r="A82" s="293"/>
      <c r="B82" s="329"/>
      <c r="C82" s="340"/>
      <c r="D82" s="326"/>
      <c r="E82" s="340"/>
      <c r="F82" s="84" t="s">
        <v>148</v>
      </c>
      <c r="G82" s="70" t="s">
        <v>63</v>
      </c>
      <c r="H82" s="329"/>
      <c r="I82" s="329"/>
    </row>
    <row r="83" spans="1:9" ht="61.5" customHeight="1" x14ac:dyDescent="0.35">
      <c r="A83" s="293"/>
      <c r="B83" s="329"/>
      <c r="C83" s="340"/>
      <c r="D83" s="326"/>
      <c r="E83" s="340"/>
      <c r="F83" s="84" t="s">
        <v>150</v>
      </c>
      <c r="G83" s="70" t="s">
        <v>62</v>
      </c>
      <c r="H83" s="329"/>
      <c r="I83" s="329"/>
    </row>
    <row r="84" spans="1:9" ht="61.5" customHeight="1" x14ac:dyDescent="0.35">
      <c r="A84" s="293"/>
      <c r="B84" s="329"/>
      <c r="C84" s="340"/>
      <c r="D84" s="326"/>
      <c r="E84" s="340"/>
      <c r="F84" s="84" t="s">
        <v>152</v>
      </c>
      <c r="G84" s="70" t="s">
        <v>66</v>
      </c>
      <c r="H84" s="329"/>
      <c r="I84" s="329"/>
    </row>
    <row r="85" spans="1:9" ht="61.5" customHeight="1" x14ac:dyDescent="0.35">
      <c r="A85" s="293"/>
      <c r="B85" s="329"/>
      <c r="C85" s="340"/>
      <c r="D85" s="326"/>
      <c r="E85" s="340"/>
      <c r="F85" s="84" t="s">
        <v>154</v>
      </c>
      <c r="G85" s="70" t="s">
        <v>68</v>
      </c>
      <c r="H85" s="329"/>
      <c r="I85" s="329"/>
    </row>
    <row r="86" spans="1:9" ht="61.5" customHeight="1" x14ac:dyDescent="0.35">
      <c r="A86" s="293"/>
      <c r="B86" s="329"/>
      <c r="C86" s="340"/>
      <c r="D86" s="326"/>
      <c r="E86" s="340"/>
      <c r="F86" s="84" t="s">
        <v>160</v>
      </c>
      <c r="G86" s="72"/>
      <c r="H86" s="329"/>
      <c r="I86" s="329"/>
    </row>
    <row r="87" spans="1:9" ht="61.5" customHeight="1" x14ac:dyDescent="0.35">
      <c r="A87" s="293"/>
      <c r="B87" s="329"/>
      <c r="C87" s="340"/>
      <c r="D87" s="326"/>
      <c r="E87" s="340"/>
      <c r="F87" s="84" t="s">
        <v>161</v>
      </c>
      <c r="G87" s="70" t="s">
        <v>162</v>
      </c>
      <c r="H87" s="329"/>
      <c r="I87" s="329"/>
    </row>
    <row r="88" spans="1:9" ht="61.5" customHeight="1" x14ac:dyDescent="0.35">
      <c r="A88" s="293"/>
      <c r="B88" s="329"/>
      <c r="C88" s="340"/>
      <c r="D88" s="326"/>
      <c r="E88" s="340"/>
      <c r="F88" s="84" t="s">
        <v>163</v>
      </c>
      <c r="G88" s="70" t="s">
        <v>164</v>
      </c>
      <c r="H88" s="329"/>
      <c r="I88" s="329"/>
    </row>
    <row r="89" spans="1:9" ht="61.5" customHeight="1" x14ac:dyDescent="0.35">
      <c r="A89" s="293"/>
      <c r="B89" s="329"/>
      <c r="C89" s="340"/>
      <c r="D89" s="326"/>
      <c r="E89" s="340"/>
      <c r="F89" s="84" t="s">
        <v>165</v>
      </c>
      <c r="G89" s="70" t="s">
        <v>73</v>
      </c>
      <c r="H89" s="329"/>
      <c r="I89" s="329"/>
    </row>
    <row r="90" spans="1:9" ht="61.5" customHeight="1" x14ac:dyDescent="0.35">
      <c r="A90" s="293"/>
      <c r="B90" s="329"/>
      <c r="C90" s="340"/>
      <c r="D90" s="326"/>
      <c r="E90" s="340"/>
      <c r="F90" s="84" t="s">
        <v>166</v>
      </c>
      <c r="G90" s="70" t="s">
        <v>167</v>
      </c>
      <c r="H90" s="329"/>
      <c r="I90" s="329"/>
    </row>
    <row r="91" spans="1:9" ht="61.5" customHeight="1" x14ac:dyDescent="0.35">
      <c r="A91" s="293"/>
      <c r="B91" s="329"/>
      <c r="C91" s="340"/>
      <c r="D91" s="326"/>
      <c r="E91" s="340"/>
      <c r="F91" s="84" t="s">
        <v>168</v>
      </c>
      <c r="G91" s="70" t="s">
        <v>144</v>
      </c>
      <c r="H91" s="329"/>
      <c r="I91" s="329"/>
    </row>
    <row r="92" spans="1:9" ht="61.5" customHeight="1" x14ac:dyDescent="0.35">
      <c r="A92" s="293"/>
      <c r="B92" s="329"/>
      <c r="C92" s="340"/>
      <c r="D92" s="326"/>
      <c r="E92" s="340"/>
      <c r="F92" s="84" t="s">
        <v>140</v>
      </c>
      <c r="G92" s="70"/>
      <c r="H92" s="329"/>
      <c r="I92" s="329"/>
    </row>
    <row r="93" spans="1:9" ht="61.5" customHeight="1" x14ac:dyDescent="0.35">
      <c r="A93" s="294"/>
      <c r="B93" s="330"/>
      <c r="C93" s="341"/>
      <c r="D93" s="327"/>
      <c r="E93" s="341"/>
      <c r="F93" s="85" t="s">
        <v>169</v>
      </c>
      <c r="G93" s="71"/>
      <c r="H93" s="330"/>
      <c r="I93" s="330"/>
    </row>
    <row r="94" spans="1:9" ht="61.5" customHeight="1" x14ac:dyDescent="0.35">
      <c r="A94" s="292"/>
      <c r="B94" s="328" t="s">
        <v>170</v>
      </c>
      <c r="C94" s="332" t="s">
        <v>171</v>
      </c>
      <c r="D94" s="69" t="s">
        <v>110</v>
      </c>
      <c r="E94" s="68" t="s">
        <v>172</v>
      </c>
      <c r="F94" s="68" t="s">
        <v>138</v>
      </c>
      <c r="G94" s="69" t="s">
        <v>173</v>
      </c>
      <c r="H94" s="328"/>
      <c r="I94" s="328"/>
    </row>
    <row r="95" spans="1:9" ht="61.5" customHeight="1" x14ac:dyDescent="0.35">
      <c r="A95" s="293"/>
      <c r="B95" s="329"/>
      <c r="C95" s="333"/>
      <c r="D95" s="70" t="s">
        <v>174</v>
      </c>
      <c r="E95" s="73" t="s">
        <v>91</v>
      </c>
      <c r="F95" s="73" t="s">
        <v>175</v>
      </c>
      <c r="G95" s="72"/>
      <c r="H95" s="329"/>
      <c r="I95" s="329"/>
    </row>
    <row r="96" spans="1:9" ht="61.5" customHeight="1" x14ac:dyDescent="0.35">
      <c r="A96" s="293"/>
      <c r="B96" s="329"/>
      <c r="C96" s="333"/>
      <c r="D96" s="70" t="s">
        <v>78</v>
      </c>
      <c r="E96" s="73"/>
      <c r="F96" s="73" t="s">
        <v>140</v>
      </c>
      <c r="G96" s="70" t="s">
        <v>176</v>
      </c>
      <c r="H96" s="329"/>
      <c r="I96" s="329"/>
    </row>
    <row r="97" spans="1:9" ht="61.5" customHeight="1" x14ac:dyDescent="0.35">
      <c r="A97" s="293"/>
      <c r="B97" s="329"/>
      <c r="C97" s="333"/>
      <c r="D97" s="70"/>
      <c r="E97" s="73"/>
      <c r="F97" s="73" t="s">
        <v>141</v>
      </c>
      <c r="G97" s="70" t="s">
        <v>177</v>
      </c>
      <c r="H97" s="329"/>
      <c r="I97" s="329"/>
    </row>
    <row r="98" spans="1:9" ht="61.5" customHeight="1" x14ac:dyDescent="0.35">
      <c r="A98" s="294"/>
      <c r="B98" s="330"/>
      <c r="C98" s="334"/>
      <c r="D98" s="71"/>
      <c r="E98" s="74"/>
      <c r="F98" s="74"/>
      <c r="G98" s="71" t="s">
        <v>178</v>
      </c>
      <c r="H98" s="330"/>
      <c r="I98" s="330"/>
    </row>
    <row r="99" spans="1:9" ht="61.5" customHeight="1" x14ac:dyDescent="0.35">
      <c r="A99" s="316" t="s">
        <v>54</v>
      </c>
      <c r="B99" s="301" t="s">
        <v>179</v>
      </c>
      <c r="C99" s="313" t="s">
        <v>180</v>
      </c>
      <c r="D99" s="301" t="s">
        <v>90</v>
      </c>
      <c r="E99" s="313" t="s">
        <v>111</v>
      </c>
      <c r="F99" s="76" t="s">
        <v>181</v>
      </c>
      <c r="G99" s="76" t="s">
        <v>112</v>
      </c>
      <c r="H99" s="345" t="s">
        <v>182</v>
      </c>
      <c r="I99" s="301"/>
    </row>
    <row r="100" spans="1:9" ht="61.5" customHeight="1" x14ac:dyDescent="0.35">
      <c r="A100" s="317"/>
      <c r="B100" s="302"/>
      <c r="C100" s="314"/>
      <c r="D100" s="302"/>
      <c r="E100" s="314"/>
      <c r="F100" s="77" t="s">
        <v>183</v>
      </c>
      <c r="G100" s="79"/>
      <c r="H100" s="346"/>
      <c r="I100" s="302"/>
    </row>
    <row r="101" spans="1:9" ht="61.5" customHeight="1" x14ac:dyDescent="0.35">
      <c r="A101" s="317"/>
      <c r="B101" s="302"/>
      <c r="C101" s="314"/>
      <c r="D101" s="302"/>
      <c r="E101" s="314"/>
      <c r="F101" s="77" t="s">
        <v>184</v>
      </c>
      <c r="G101" s="77" t="s">
        <v>114</v>
      </c>
      <c r="H101" s="346"/>
      <c r="I101" s="302"/>
    </row>
    <row r="102" spans="1:9" ht="61.5" customHeight="1" x14ac:dyDescent="0.35">
      <c r="A102" s="317"/>
      <c r="B102" s="302"/>
      <c r="C102" s="314"/>
      <c r="D102" s="302"/>
      <c r="E102" s="314"/>
      <c r="F102" s="77"/>
      <c r="G102" s="77" t="s">
        <v>62</v>
      </c>
      <c r="H102" s="346"/>
      <c r="I102" s="302"/>
    </row>
    <row r="103" spans="1:9" ht="61.5" customHeight="1" x14ac:dyDescent="0.35">
      <c r="A103" s="317"/>
      <c r="B103" s="302"/>
      <c r="C103" s="314"/>
      <c r="D103" s="302"/>
      <c r="E103" s="314"/>
      <c r="F103" s="77"/>
      <c r="G103" s="77" t="s">
        <v>98</v>
      </c>
      <c r="H103" s="346"/>
      <c r="I103" s="302"/>
    </row>
    <row r="104" spans="1:9" ht="61.5" customHeight="1" x14ac:dyDescent="0.35">
      <c r="A104" s="317"/>
      <c r="B104" s="302"/>
      <c r="C104" s="314"/>
      <c r="D104" s="302"/>
      <c r="E104" s="314"/>
      <c r="F104" s="77"/>
      <c r="G104" s="77" t="s">
        <v>100</v>
      </c>
      <c r="H104" s="346"/>
      <c r="I104" s="302"/>
    </row>
    <row r="105" spans="1:9" ht="61.5" customHeight="1" x14ac:dyDescent="0.35">
      <c r="A105" s="317"/>
      <c r="B105" s="302"/>
      <c r="C105" s="314"/>
      <c r="D105" s="302"/>
      <c r="E105" s="314"/>
      <c r="F105" s="77"/>
      <c r="G105" s="79"/>
      <c r="H105" s="346"/>
      <c r="I105" s="302"/>
    </row>
    <row r="106" spans="1:9" ht="61.5" customHeight="1" x14ac:dyDescent="0.35">
      <c r="A106" s="317"/>
      <c r="B106" s="302"/>
      <c r="C106" s="314"/>
      <c r="D106" s="302"/>
      <c r="E106" s="314"/>
      <c r="F106" s="77"/>
      <c r="G106" s="77" t="s">
        <v>185</v>
      </c>
      <c r="H106" s="346"/>
      <c r="I106" s="302"/>
    </row>
    <row r="107" spans="1:9" ht="61.5" customHeight="1" x14ac:dyDescent="0.35">
      <c r="A107" s="317"/>
      <c r="B107" s="302"/>
      <c r="C107" s="314"/>
      <c r="D107" s="302"/>
      <c r="E107" s="314"/>
      <c r="F107" s="77"/>
      <c r="G107" s="77" t="s">
        <v>186</v>
      </c>
      <c r="H107" s="346"/>
      <c r="I107" s="302"/>
    </row>
    <row r="108" spans="1:9" ht="61.5" customHeight="1" x14ac:dyDescent="0.35">
      <c r="A108" s="318"/>
      <c r="B108" s="303"/>
      <c r="C108" s="315"/>
      <c r="D108" s="303"/>
      <c r="E108" s="315"/>
      <c r="F108" s="78"/>
      <c r="G108" s="78" t="s">
        <v>75</v>
      </c>
      <c r="H108" s="347"/>
      <c r="I108" s="303"/>
    </row>
    <row r="109" spans="1:9" ht="61.5" customHeight="1" x14ac:dyDescent="0.35">
      <c r="A109" s="292" t="s">
        <v>187</v>
      </c>
      <c r="B109" s="328" t="s">
        <v>188</v>
      </c>
      <c r="C109" s="290"/>
      <c r="D109" s="69" t="s">
        <v>189</v>
      </c>
      <c r="E109" s="332" t="s">
        <v>190</v>
      </c>
      <c r="F109" s="328"/>
      <c r="G109" s="55" t="s">
        <v>191</v>
      </c>
      <c r="H109" s="328"/>
      <c r="I109" s="328"/>
    </row>
    <row r="110" spans="1:9" ht="61.5" customHeight="1" x14ac:dyDescent="0.35">
      <c r="A110" s="293"/>
      <c r="B110" s="329"/>
      <c r="C110" s="291"/>
      <c r="D110" s="70" t="s">
        <v>78</v>
      </c>
      <c r="E110" s="333"/>
      <c r="F110" s="329"/>
      <c r="G110" s="54"/>
      <c r="H110" s="329"/>
      <c r="I110" s="329"/>
    </row>
    <row r="111" spans="1:9" ht="61.5" customHeight="1" x14ac:dyDescent="0.35">
      <c r="A111" s="293"/>
      <c r="B111" s="329"/>
      <c r="C111" s="291"/>
      <c r="D111" s="70"/>
      <c r="E111" s="333"/>
      <c r="F111" s="329"/>
      <c r="G111" s="55" t="s">
        <v>192</v>
      </c>
      <c r="H111" s="329"/>
      <c r="I111" s="329"/>
    </row>
    <row r="112" spans="1:9" ht="61.5" customHeight="1" x14ac:dyDescent="0.35">
      <c r="A112" s="293"/>
      <c r="B112" s="329"/>
      <c r="C112" s="291"/>
      <c r="D112" s="70"/>
      <c r="E112" s="333"/>
      <c r="F112" s="329"/>
      <c r="G112" s="55" t="s">
        <v>193</v>
      </c>
      <c r="H112" s="329"/>
      <c r="I112" s="329"/>
    </row>
    <row r="113" spans="1:9" ht="61.5" customHeight="1" x14ac:dyDescent="0.35">
      <c r="A113" s="293"/>
      <c r="B113" s="329"/>
      <c r="C113" s="291"/>
      <c r="D113" s="70"/>
      <c r="E113" s="333"/>
      <c r="F113" s="329"/>
      <c r="G113" s="54"/>
      <c r="H113" s="329"/>
      <c r="I113" s="329"/>
    </row>
    <row r="114" spans="1:9" ht="61.5" customHeight="1" x14ac:dyDescent="0.35">
      <c r="A114" s="293"/>
      <c r="B114" s="329"/>
      <c r="C114" s="291"/>
      <c r="D114" s="70"/>
      <c r="E114" s="333"/>
      <c r="F114" s="329"/>
      <c r="G114" s="55" t="s">
        <v>194</v>
      </c>
      <c r="H114" s="329"/>
      <c r="I114" s="329"/>
    </row>
    <row r="115" spans="1:9" ht="61.5" customHeight="1" x14ac:dyDescent="0.35">
      <c r="A115" s="293"/>
      <c r="B115" s="329"/>
      <c r="C115" s="291"/>
      <c r="D115" s="70"/>
      <c r="E115" s="333"/>
      <c r="F115" s="329"/>
      <c r="G115" s="55" t="s">
        <v>195</v>
      </c>
      <c r="H115" s="329"/>
      <c r="I115" s="329"/>
    </row>
    <row r="116" spans="1:9" ht="61.5" customHeight="1" thickBot="1" x14ac:dyDescent="0.4">
      <c r="A116" s="294"/>
      <c r="B116" s="330"/>
      <c r="C116" s="331"/>
      <c r="D116" s="71"/>
      <c r="E116" s="334"/>
      <c r="F116" s="330"/>
      <c r="G116" s="58" t="s">
        <v>75</v>
      </c>
      <c r="H116" s="330"/>
      <c r="I116" s="330"/>
    </row>
    <row r="117" spans="1:9" ht="61.5" customHeight="1" x14ac:dyDescent="0.35">
      <c r="A117" s="292"/>
      <c r="B117" s="328" t="s">
        <v>196</v>
      </c>
      <c r="C117" s="342"/>
      <c r="D117" s="76" t="s">
        <v>197</v>
      </c>
      <c r="E117" s="342" t="s">
        <v>198</v>
      </c>
      <c r="F117" s="328"/>
      <c r="G117" s="69" t="s">
        <v>199</v>
      </c>
      <c r="H117" s="69" t="s">
        <v>200</v>
      </c>
      <c r="I117" s="328"/>
    </row>
    <row r="118" spans="1:9" ht="61.5" customHeight="1" x14ac:dyDescent="0.35">
      <c r="A118" s="293"/>
      <c r="B118" s="329"/>
      <c r="C118" s="343"/>
      <c r="D118" s="77" t="s">
        <v>201</v>
      </c>
      <c r="E118" s="343"/>
      <c r="F118" s="329"/>
      <c r="G118" s="72"/>
      <c r="H118" s="70" t="s">
        <v>202</v>
      </c>
      <c r="I118" s="329"/>
    </row>
    <row r="119" spans="1:9" ht="61.5" customHeight="1" x14ac:dyDescent="0.35">
      <c r="A119" s="293"/>
      <c r="B119" s="329"/>
      <c r="C119" s="343"/>
      <c r="D119" s="77"/>
      <c r="E119" s="343"/>
      <c r="F119" s="329"/>
      <c r="G119" s="70" t="s">
        <v>62</v>
      </c>
      <c r="H119" s="70"/>
      <c r="I119" s="329"/>
    </row>
    <row r="120" spans="1:9" ht="61.5" customHeight="1" x14ac:dyDescent="0.35">
      <c r="A120" s="293"/>
      <c r="B120" s="329"/>
      <c r="C120" s="343"/>
      <c r="D120" s="77"/>
      <c r="E120" s="343"/>
      <c r="F120" s="329"/>
      <c r="G120" s="70" t="s">
        <v>66</v>
      </c>
      <c r="H120" s="70"/>
      <c r="I120" s="329"/>
    </row>
    <row r="121" spans="1:9" ht="61.5" customHeight="1" x14ac:dyDescent="0.35">
      <c r="A121" s="294"/>
      <c r="B121" s="330"/>
      <c r="C121" s="344"/>
      <c r="D121" s="78"/>
      <c r="E121" s="344"/>
      <c r="F121" s="330"/>
      <c r="G121" s="71" t="s">
        <v>203</v>
      </c>
      <c r="H121" s="71"/>
      <c r="I121" s="330"/>
    </row>
    <row r="122" spans="1:9" ht="61.5" customHeight="1" x14ac:dyDescent="0.35">
      <c r="A122" s="292"/>
      <c r="B122" s="328" t="s">
        <v>204</v>
      </c>
      <c r="C122" s="339"/>
      <c r="D122" s="325" t="s">
        <v>78</v>
      </c>
      <c r="E122" s="339" t="s">
        <v>58</v>
      </c>
      <c r="F122" s="328"/>
      <c r="G122" s="69" t="s">
        <v>60</v>
      </c>
      <c r="H122" s="328"/>
      <c r="I122" s="328"/>
    </row>
    <row r="123" spans="1:9" ht="61.5" customHeight="1" x14ac:dyDescent="0.35">
      <c r="A123" s="293"/>
      <c r="B123" s="329"/>
      <c r="C123" s="340"/>
      <c r="D123" s="326"/>
      <c r="E123" s="340"/>
      <c r="F123" s="329"/>
      <c r="G123" s="70" t="s">
        <v>63</v>
      </c>
      <c r="H123" s="329"/>
      <c r="I123" s="329"/>
    </row>
    <row r="124" spans="1:9" ht="61.5" customHeight="1" x14ac:dyDescent="0.35">
      <c r="A124" s="293"/>
      <c r="B124" s="329"/>
      <c r="C124" s="340"/>
      <c r="D124" s="326"/>
      <c r="E124" s="340"/>
      <c r="F124" s="329"/>
      <c r="G124" s="70" t="s">
        <v>62</v>
      </c>
      <c r="H124" s="329"/>
      <c r="I124" s="329"/>
    </row>
    <row r="125" spans="1:9" ht="61.5" customHeight="1" x14ac:dyDescent="0.35">
      <c r="A125" s="293"/>
      <c r="B125" s="329"/>
      <c r="C125" s="340"/>
      <c r="D125" s="326"/>
      <c r="E125" s="340"/>
      <c r="F125" s="329"/>
      <c r="G125" s="70" t="s">
        <v>66</v>
      </c>
      <c r="H125" s="329"/>
      <c r="I125" s="329"/>
    </row>
    <row r="126" spans="1:9" ht="61.5" customHeight="1" x14ac:dyDescent="0.35">
      <c r="A126" s="294"/>
      <c r="B126" s="330"/>
      <c r="C126" s="341"/>
      <c r="D126" s="327"/>
      <c r="E126" s="341"/>
      <c r="F126" s="330"/>
      <c r="G126" s="71" t="s">
        <v>68</v>
      </c>
      <c r="H126" s="330"/>
      <c r="I126" s="330"/>
    </row>
    <row r="127" spans="1:9" ht="61.5" customHeight="1" x14ac:dyDescent="0.35">
      <c r="A127" s="290"/>
      <c r="B127" s="290" t="s">
        <v>205</v>
      </c>
      <c r="C127" s="290"/>
      <c r="D127" s="290"/>
      <c r="E127" s="332" t="s">
        <v>206</v>
      </c>
      <c r="F127" s="290"/>
      <c r="G127" s="68" t="s">
        <v>207</v>
      </c>
      <c r="H127" s="290"/>
      <c r="I127" s="290"/>
    </row>
    <row r="128" spans="1:9" ht="61.5" customHeight="1" x14ac:dyDescent="0.35">
      <c r="A128" s="291"/>
      <c r="B128" s="291"/>
      <c r="C128" s="291"/>
      <c r="D128" s="291"/>
      <c r="E128" s="333"/>
      <c r="F128" s="291"/>
      <c r="G128" s="75"/>
      <c r="H128" s="291"/>
      <c r="I128" s="291"/>
    </row>
    <row r="129" spans="1:9" ht="61.5" customHeight="1" x14ac:dyDescent="0.35">
      <c r="A129" s="291"/>
      <c r="B129" s="291"/>
      <c r="C129" s="291"/>
      <c r="D129" s="291"/>
      <c r="E129" s="333"/>
      <c r="F129" s="291"/>
      <c r="G129" s="73" t="s">
        <v>62</v>
      </c>
      <c r="H129" s="291"/>
      <c r="I129" s="291"/>
    </row>
    <row r="130" spans="1:9" ht="61.5" customHeight="1" x14ac:dyDescent="0.35">
      <c r="A130" s="331"/>
      <c r="B130" s="331"/>
      <c r="C130" s="331"/>
      <c r="D130" s="331"/>
      <c r="E130" s="334"/>
      <c r="F130" s="331"/>
      <c r="G130" s="74" t="s">
        <v>208</v>
      </c>
      <c r="H130" s="331"/>
      <c r="I130" s="331"/>
    </row>
    <row r="131" spans="1:9" ht="61.5" customHeight="1" x14ac:dyDescent="0.35">
      <c r="A131" s="292"/>
      <c r="B131" s="328" t="s">
        <v>209</v>
      </c>
      <c r="C131" s="290"/>
      <c r="D131" s="337" t="s">
        <v>78</v>
      </c>
      <c r="E131" s="332" t="s">
        <v>79</v>
      </c>
      <c r="F131" s="328"/>
      <c r="G131" s="69" t="s">
        <v>81</v>
      </c>
      <c r="H131" s="328"/>
      <c r="I131" s="328"/>
    </row>
    <row r="132" spans="1:9" ht="61.5" customHeight="1" x14ac:dyDescent="0.35">
      <c r="A132" s="293"/>
      <c r="B132" s="329"/>
      <c r="C132" s="291"/>
      <c r="D132" s="338"/>
      <c r="E132" s="333"/>
      <c r="F132" s="329"/>
      <c r="G132" s="72"/>
      <c r="H132" s="329"/>
      <c r="I132" s="329"/>
    </row>
    <row r="133" spans="1:9" ht="61.5" customHeight="1" x14ac:dyDescent="0.35">
      <c r="A133" s="293"/>
      <c r="B133" s="329"/>
      <c r="C133" s="291"/>
      <c r="D133" s="338"/>
      <c r="E133" s="333"/>
      <c r="F133" s="329"/>
      <c r="G133" s="70" t="s">
        <v>62</v>
      </c>
      <c r="H133" s="329"/>
      <c r="I133" s="329"/>
    </row>
    <row r="134" spans="1:9" ht="61.5" customHeight="1" x14ac:dyDescent="0.35">
      <c r="A134" s="293"/>
      <c r="B134" s="329"/>
      <c r="C134" s="291"/>
      <c r="D134" s="338"/>
      <c r="E134" s="333"/>
      <c r="F134" s="329"/>
      <c r="G134" s="70" t="s">
        <v>66</v>
      </c>
      <c r="H134" s="329"/>
      <c r="I134" s="329"/>
    </row>
    <row r="135" spans="1:9" ht="61.5" customHeight="1" x14ac:dyDescent="0.35">
      <c r="A135" s="294"/>
      <c r="B135" s="330"/>
      <c r="C135" s="331"/>
      <c r="D135" s="338"/>
      <c r="E135" s="334"/>
      <c r="F135" s="330"/>
      <c r="G135" s="71" t="s">
        <v>68</v>
      </c>
      <c r="H135" s="330"/>
      <c r="I135" s="330"/>
    </row>
    <row r="136" spans="1:9" ht="61.5" customHeight="1" x14ac:dyDescent="0.35">
      <c r="A136" s="292"/>
      <c r="B136" s="328" t="s">
        <v>210</v>
      </c>
      <c r="C136" s="290"/>
      <c r="D136" s="335" t="s">
        <v>57</v>
      </c>
      <c r="E136" s="332" t="s">
        <v>211</v>
      </c>
      <c r="F136" s="328"/>
      <c r="G136" s="69" t="s">
        <v>81</v>
      </c>
      <c r="H136" s="328"/>
      <c r="I136" s="328"/>
    </row>
    <row r="137" spans="1:9" ht="61.5" customHeight="1" x14ac:dyDescent="0.35">
      <c r="A137" s="293"/>
      <c r="B137" s="329"/>
      <c r="C137" s="291"/>
      <c r="D137" s="335"/>
      <c r="E137" s="333"/>
      <c r="F137" s="329"/>
      <c r="G137" s="72"/>
      <c r="H137" s="329"/>
      <c r="I137" s="329"/>
    </row>
    <row r="138" spans="1:9" ht="61.5" customHeight="1" x14ac:dyDescent="0.35">
      <c r="A138" s="293"/>
      <c r="B138" s="329"/>
      <c r="C138" s="291"/>
      <c r="D138" s="335"/>
      <c r="E138" s="333"/>
      <c r="F138" s="329"/>
      <c r="G138" s="70" t="s">
        <v>62</v>
      </c>
      <c r="H138" s="329"/>
      <c r="I138" s="329"/>
    </row>
    <row r="139" spans="1:9" ht="61.5" customHeight="1" x14ac:dyDescent="0.35">
      <c r="A139" s="293"/>
      <c r="B139" s="329"/>
      <c r="C139" s="291"/>
      <c r="D139" s="335"/>
      <c r="E139" s="333"/>
      <c r="F139" s="329"/>
      <c r="G139" s="70" t="s">
        <v>66</v>
      </c>
      <c r="H139" s="329"/>
      <c r="I139" s="329"/>
    </row>
    <row r="140" spans="1:9" ht="61.5" customHeight="1" x14ac:dyDescent="0.35">
      <c r="A140" s="293"/>
      <c r="B140" s="329"/>
      <c r="C140" s="291"/>
      <c r="D140" s="335"/>
      <c r="E140" s="333"/>
      <c r="F140" s="329"/>
      <c r="G140" s="70" t="s">
        <v>212</v>
      </c>
      <c r="H140" s="329"/>
      <c r="I140" s="329"/>
    </row>
    <row r="141" spans="1:9" ht="61.5" customHeight="1" x14ac:dyDescent="0.35">
      <c r="A141" s="294"/>
      <c r="B141" s="330"/>
      <c r="C141" s="331"/>
      <c r="D141" s="336"/>
      <c r="E141" s="334"/>
      <c r="F141" s="330"/>
      <c r="G141" s="71" t="s">
        <v>213</v>
      </c>
      <c r="H141" s="330"/>
      <c r="I141" s="330"/>
    </row>
    <row r="142" spans="1:9" ht="61.5" customHeight="1" x14ac:dyDescent="0.35">
      <c r="A142" s="292"/>
      <c r="B142" s="328" t="s">
        <v>214</v>
      </c>
      <c r="C142" s="290"/>
      <c r="D142" s="69" t="s">
        <v>110</v>
      </c>
      <c r="E142" s="332" t="s">
        <v>215</v>
      </c>
      <c r="F142" s="328"/>
      <c r="G142" s="69" t="s">
        <v>93</v>
      </c>
      <c r="H142" s="69" t="s">
        <v>216</v>
      </c>
      <c r="I142" s="328"/>
    </row>
    <row r="143" spans="1:9" ht="61.5" customHeight="1" x14ac:dyDescent="0.35">
      <c r="A143" s="293"/>
      <c r="B143" s="329"/>
      <c r="C143" s="291"/>
      <c r="D143" s="70" t="s">
        <v>90</v>
      </c>
      <c r="E143" s="333"/>
      <c r="F143" s="329"/>
      <c r="G143" s="72"/>
      <c r="H143" s="72"/>
      <c r="I143" s="329"/>
    </row>
    <row r="144" spans="1:9" ht="61.5" customHeight="1" x14ac:dyDescent="0.35">
      <c r="A144" s="293"/>
      <c r="B144" s="329"/>
      <c r="C144" s="291"/>
      <c r="D144" s="70"/>
      <c r="E144" s="333"/>
      <c r="F144" s="329"/>
      <c r="G144" s="70" t="s">
        <v>62</v>
      </c>
      <c r="H144" s="70" t="s">
        <v>217</v>
      </c>
      <c r="I144" s="329"/>
    </row>
    <row r="145" spans="1:9" ht="61.5" customHeight="1" x14ac:dyDescent="0.35">
      <c r="A145" s="293"/>
      <c r="B145" s="329"/>
      <c r="C145" s="291"/>
      <c r="D145" s="70"/>
      <c r="E145" s="333"/>
      <c r="F145" s="329"/>
      <c r="G145" s="70" t="s">
        <v>98</v>
      </c>
      <c r="H145" s="70" t="s">
        <v>218</v>
      </c>
      <c r="I145" s="329"/>
    </row>
    <row r="146" spans="1:9" ht="61.5" customHeight="1" x14ac:dyDescent="0.35">
      <c r="A146" s="293"/>
      <c r="B146" s="329"/>
      <c r="C146" s="291"/>
      <c r="D146" s="70"/>
      <c r="E146" s="333"/>
      <c r="F146" s="329"/>
      <c r="G146" s="70" t="s">
        <v>219</v>
      </c>
      <c r="H146" s="70" t="s">
        <v>220</v>
      </c>
      <c r="I146" s="329"/>
    </row>
    <row r="147" spans="1:9" ht="61.5" customHeight="1" x14ac:dyDescent="0.35">
      <c r="A147" s="293"/>
      <c r="B147" s="329"/>
      <c r="C147" s="291"/>
      <c r="D147" s="70"/>
      <c r="E147" s="333"/>
      <c r="F147" s="329"/>
      <c r="G147" s="70" t="s">
        <v>213</v>
      </c>
      <c r="H147" s="70" t="s">
        <v>221</v>
      </c>
      <c r="I147" s="329"/>
    </row>
    <row r="148" spans="1:9" ht="61.5" customHeight="1" x14ac:dyDescent="0.35">
      <c r="A148" s="294"/>
      <c r="B148" s="330"/>
      <c r="C148" s="331"/>
      <c r="D148" s="71"/>
      <c r="E148" s="334"/>
      <c r="F148" s="330"/>
      <c r="G148" s="71"/>
      <c r="H148" s="71" t="s">
        <v>222</v>
      </c>
      <c r="I148" s="330"/>
    </row>
    <row r="149" spans="1:9" ht="61.5" customHeight="1" x14ac:dyDescent="0.35">
      <c r="A149" s="292"/>
      <c r="B149" s="301" t="s">
        <v>223</v>
      </c>
      <c r="C149" s="313" t="s">
        <v>224</v>
      </c>
      <c r="D149" s="76" t="s">
        <v>78</v>
      </c>
      <c r="E149" s="313" t="s">
        <v>198</v>
      </c>
      <c r="F149" s="76" t="s">
        <v>138</v>
      </c>
      <c r="G149" s="76" t="s">
        <v>199</v>
      </c>
      <c r="H149" s="76" t="s">
        <v>225</v>
      </c>
      <c r="I149" s="301"/>
    </row>
    <row r="150" spans="1:9" ht="61.5" customHeight="1" x14ac:dyDescent="0.35">
      <c r="A150" s="293"/>
      <c r="B150" s="302"/>
      <c r="C150" s="314"/>
      <c r="D150" s="77" t="s">
        <v>201</v>
      </c>
      <c r="E150" s="314"/>
      <c r="F150" s="77" t="s">
        <v>226</v>
      </c>
      <c r="G150" s="79"/>
      <c r="H150" s="77" t="s">
        <v>227</v>
      </c>
      <c r="I150" s="302"/>
    </row>
    <row r="151" spans="1:9" ht="61.5" customHeight="1" x14ac:dyDescent="0.35">
      <c r="A151" s="293"/>
      <c r="B151" s="302"/>
      <c r="C151" s="314"/>
      <c r="D151" s="77"/>
      <c r="E151" s="314"/>
      <c r="F151" s="77" t="s">
        <v>140</v>
      </c>
      <c r="G151" s="77" t="s">
        <v>62</v>
      </c>
      <c r="H151" s="77" t="s">
        <v>228</v>
      </c>
      <c r="I151" s="302"/>
    </row>
    <row r="152" spans="1:9" ht="61.5" customHeight="1" x14ac:dyDescent="0.35">
      <c r="A152" s="293"/>
      <c r="B152" s="302"/>
      <c r="C152" s="314"/>
      <c r="D152" s="77"/>
      <c r="E152" s="314"/>
      <c r="F152" s="77" t="s">
        <v>141</v>
      </c>
      <c r="G152" s="77" t="s">
        <v>66</v>
      </c>
      <c r="H152" s="77"/>
      <c r="I152" s="302"/>
    </row>
    <row r="153" spans="1:9" ht="61.5" customHeight="1" x14ac:dyDescent="0.35">
      <c r="A153" s="293"/>
      <c r="B153" s="302"/>
      <c r="C153" s="314"/>
      <c r="D153" s="77"/>
      <c r="E153" s="314"/>
      <c r="F153" s="77"/>
      <c r="G153" s="77" t="s">
        <v>203</v>
      </c>
      <c r="H153" s="77" t="s">
        <v>223</v>
      </c>
      <c r="I153" s="302"/>
    </row>
    <row r="154" spans="1:9" ht="61.5" customHeight="1" x14ac:dyDescent="0.35">
      <c r="A154" s="293"/>
      <c r="B154" s="302"/>
      <c r="C154" s="314"/>
      <c r="D154" s="77"/>
      <c r="E154" s="314"/>
      <c r="F154" s="77"/>
      <c r="G154" s="79"/>
      <c r="H154" s="77"/>
      <c r="I154" s="302"/>
    </row>
    <row r="155" spans="1:9" ht="61.5" customHeight="1" x14ac:dyDescent="0.35">
      <c r="A155" s="293"/>
      <c r="B155" s="302"/>
      <c r="C155" s="314"/>
      <c r="D155" s="77"/>
      <c r="E155" s="314"/>
      <c r="F155" s="77"/>
      <c r="G155" s="77" t="s">
        <v>142</v>
      </c>
      <c r="H155" s="77"/>
      <c r="I155" s="302"/>
    </row>
    <row r="156" spans="1:9" ht="61.5" customHeight="1" x14ac:dyDescent="0.35">
      <c r="A156" s="293"/>
      <c r="B156" s="302"/>
      <c r="C156" s="314"/>
      <c r="D156" s="77"/>
      <c r="E156" s="314"/>
      <c r="F156" s="77"/>
      <c r="G156" s="77" t="s">
        <v>138</v>
      </c>
      <c r="H156" s="77"/>
      <c r="I156" s="302"/>
    </row>
    <row r="157" spans="1:9" ht="61.5" customHeight="1" x14ac:dyDescent="0.35">
      <c r="A157" s="293"/>
      <c r="B157" s="302"/>
      <c r="C157" s="314"/>
      <c r="D157" s="77"/>
      <c r="E157" s="314"/>
      <c r="F157" s="77"/>
      <c r="G157" s="77" t="s">
        <v>229</v>
      </c>
      <c r="H157" s="77"/>
      <c r="I157" s="302"/>
    </row>
    <row r="158" spans="1:9" ht="61.5" customHeight="1" x14ac:dyDescent="0.35">
      <c r="A158" s="294"/>
      <c r="B158" s="303"/>
      <c r="C158" s="315"/>
      <c r="D158" s="78"/>
      <c r="E158" s="315"/>
      <c r="F158" s="78"/>
      <c r="G158" s="78" t="s">
        <v>178</v>
      </c>
      <c r="H158" s="78"/>
      <c r="I158" s="303"/>
    </row>
    <row r="159" spans="1:9" ht="61.5" customHeight="1" x14ac:dyDescent="0.35">
      <c r="A159" s="292"/>
      <c r="B159" s="301" t="s">
        <v>230</v>
      </c>
      <c r="C159" s="313" t="s">
        <v>231</v>
      </c>
      <c r="D159" s="325" t="s">
        <v>78</v>
      </c>
      <c r="E159" s="313" t="s">
        <v>58</v>
      </c>
      <c r="F159" s="76" t="s">
        <v>138</v>
      </c>
      <c r="G159" s="69" t="s">
        <v>147</v>
      </c>
      <c r="H159" s="301"/>
      <c r="I159" s="301"/>
    </row>
    <row r="160" spans="1:9" ht="61.5" customHeight="1" x14ac:dyDescent="0.35">
      <c r="A160" s="293"/>
      <c r="B160" s="302"/>
      <c r="C160" s="314"/>
      <c r="D160" s="326"/>
      <c r="E160" s="314"/>
      <c r="F160" s="77" t="s">
        <v>160</v>
      </c>
      <c r="G160" s="70" t="s">
        <v>149</v>
      </c>
      <c r="H160" s="302"/>
      <c r="I160" s="302"/>
    </row>
    <row r="161" spans="1:9" ht="61.5" customHeight="1" x14ac:dyDescent="0.35">
      <c r="A161" s="293"/>
      <c r="B161" s="302"/>
      <c r="C161" s="314"/>
      <c r="D161" s="326"/>
      <c r="E161" s="314"/>
      <c r="F161" s="77" t="s">
        <v>161</v>
      </c>
      <c r="G161" s="70" t="s">
        <v>151</v>
      </c>
      <c r="H161" s="302"/>
      <c r="I161" s="302"/>
    </row>
    <row r="162" spans="1:9" ht="61.5" customHeight="1" x14ac:dyDescent="0.35">
      <c r="A162" s="293"/>
      <c r="B162" s="302"/>
      <c r="C162" s="314"/>
      <c r="D162" s="326"/>
      <c r="E162" s="314"/>
      <c r="F162" s="77" t="s">
        <v>163</v>
      </c>
      <c r="G162" s="70" t="s">
        <v>153</v>
      </c>
      <c r="H162" s="302"/>
      <c r="I162" s="302"/>
    </row>
    <row r="163" spans="1:9" ht="61.5" customHeight="1" x14ac:dyDescent="0.35">
      <c r="A163" s="293"/>
      <c r="B163" s="302"/>
      <c r="C163" s="314"/>
      <c r="D163" s="326"/>
      <c r="E163" s="314"/>
      <c r="F163" s="77" t="s">
        <v>165</v>
      </c>
      <c r="G163" s="70" t="s">
        <v>155</v>
      </c>
      <c r="H163" s="302"/>
      <c r="I163" s="302"/>
    </row>
    <row r="164" spans="1:9" ht="61.5" customHeight="1" x14ac:dyDescent="0.35">
      <c r="A164" s="293"/>
      <c r="B164" s="302"/>
      <c r="C164" s="314"/>
      <c r="D164" s="326"/>
      <c r="E164" s="314"/>
      <c r="F164" s="77" t="s">
        <v>166</v>
      </c>
      <c r="G164" s="70" t="s">
        <v>157</v>
      </c>
      <c r="H164" s="302"/>
      <c r="I164" s="302"/>
    </row>
    <row r="165" spans="1:9" ht="61.5" customHeight="1" x14ac:dyDescent="0.35">
      <c r="A165" s="293"/>
      <c r="B165" s="302"/>
      <c r="C165" s="314"/>
      <c r="D165" s="326"/>
      <c r="E165" s="314"/>
      <c r="F165" s="77" t="s">
        <v>168</v>
      </c>
      <c r="G165" s="72"/>
      <c r="H165" s="302"/>
      <c r="I165" s="302"/>
    </row>
    <row r="166" spans="1:9" ht="61.5" customHeight="1" x14ac:dyDescent="0.35">
      <c r="A166" s="293"/>
      <c r="B166" s="302"/>
      <c r="C166" s="314"/>
      <c r="D166" s="326"/>
      <c r="E166" s="314"/>
      <c r="F166" s="77" t="s">
        <v>140</v>
      </c>
      <c r="G166" s="70" t="s">
        <v>60</v>
      </c>
      <c r="H166" s="302"/>
      <c r="I166" s="302"/>
    </row>
    <row r="167" spans="1:9" ht="61.5" customHeight="1" x14ac:dyDescent="0.35">
      <c r="A167" s="293"/>
      <c r="B167" s="302"/>
      <c r="C167" s="314"/>
      <c r="D167" s="326"/>
      <c r="E167" s="314"/>
      <c r="F167" s="77" t="s">
        <v>141</v>
      </c>
      <c r="G167" s="70" t="s">
        <v>63</v>
      </c>
      <c r="H167" s="302"/>
      <c r="I167" s="302"/>
    </row>
    <row r="168" spans="1:9" ht="61.5" customHeight="1" x14ac:dyDescent="0.35">
      <c r="A168" s="293"/>
      <c r="B168" s="302"/>
      <c r="C168" s="314"/>
      <c r="D168" s="326"/>
      <c r="E168" s="314"/>
      <c r="F168" s="77"/>
      <c r="G168" s="70" t="s">
        <v>62</v>
      </c>
      <c r="H168" s="302"/>
      <c r="I168" s="302"/>
    </row>
    <row r="169" spans="1:9" ht="61.5" customHeight="1" x14ac:dyDescent="0.35">
      <c r="A169" s="293"/>
      <c r="B169" s="302"/>
      <c r="C169" s="314"/>
      <c r="D169" s="326"/>
      <c r="E169" s="314"/>
      <c r="F169" s="77"/>
      <c r="G169" s="70" t="s">
        <v>66</v>
      </c>
      <c r="H169" s="302"/>
      <c r="I169" s="302"/>
    </row>
    <row r="170" spans="1:9" ht="61.5" customHeight="1" x14ac:dyDescent="0.35">
      <c r="A170" s="293"/>
      <c r="B170" s="302"/>
      <c r="C170" s="314"/>
      <c r="D170" s="326"/>
      <c r="E170" s="314"/>
      <c r="F170" s="77"/>
      <c r="G170" s="70" t="s">
        <v>68</v>
      </c>
      <c r="H170" s="302"/>
      <c r="I170" s="302"/>
    </row>
    <row r="171" spans="1:9" ht="61.5" customHeight="1" x14ac:dyDescent="0.35">
      <c r="A171" s="293"/>
      <c r="B171" s="302"/>
      <c r="C171" s="314"/>
      <c r="D171" s="326"/>
      <c r="E171" s="314"/>
      <c r="F171" s="77"/>
      <c r="G171" s="72"/>
      <c r="H171" s="302"/>
      <c r="I171" s="302"/>
    </row>
    <row r="172" spans="1:9" ht="61.5" customHeight="1" x14ac:dyDescent="0.35">
      <c r="A172" s="293"/>
      <c r="B172" s="302"/>
      <c r="C172" s="314"/>
      <c r="D172" s="326"/>
      <c r="E172" s="314"/>
      <c r="F172" s="77"/>
      <c r="G172" s="70" t="s">
        <v>232</v>
      </c>
      <c r="H172" s="302"/>
      <c r="I172" s="302"/>
    </row>
    <row r="173" spans="1:9" ht="61.5" customHeight="1" x14ac:dyDescent="0.35">
      <c r="A173" s="293"/>
      <c r="B173" s="302"/>
      <c r="C173" s="314"/>
      <c r="D173" s="326"/>
      <c r="E173" s="314"/>
      <c r="F173" s="77"/>
      <c r="G173" s="70" t="s">
        <v>233</v>
      </c>
      <c r="H173" s="302"/>
      <c r="I173" s="302"/>
    </row>
    <row r="174" spans="1:9" ht="61.5" customHeight="1" x14ac:dyDescent="0.35">
      <c r="A174" s="294"/>
      <c r="B174" s="303"/>
      <c r="C174" s="315"/>
      <c r="D174" s="327"/>
      <c r="E174" s="315"/>
      <c r="F174" s="78"/>
      <c r="G174" s="71" t="s">
        <v>144</v>
      </c>
      <c r="H174" s="303"/>
      <c r="I174" s="303"/>
    </row>
    <row r="175" spans="1:9" ht="61.5" customHeight="1" x14ac:dyDescent="0.35">
      <c r="A175" s="292"/>
      <c r="B175" s="301" t="s">
        <v>234</v>
      </c>
      <c r="C175" s="322" t="s">
        <v>235</v>
      </c>
      <c r="D175" s="325" t="s">
        <v>78</v>
      </c>
      <c r="E175" s="322" t="s">
        <v>58</v>
      </c>
      <c r="F175" s="86" t="s">
        <v>138</v>
      </c>
      <c r="G175" s="89" t="s">
        <v>60</v>
      </c>
      <c r="H175" s="76" t="s">
        <v>236</v>
      </c>
      <c r="I175" s="95" t="s">
        <v>237</v>
      </c>
    </row>
    <row r="176" spans="1:9" ht="61.5" customHeight="1" x14ac:dyDescent="0.35">
      <c r="A176" s="293"/>
      <c r="B176" s="302"/>
      <c r="C176" s="323"/>
      <c r="D176" s="326"/>
      <c r="E176" s="323"/>
      <c r="F176" s="87" t="s">
        <v>238</v>
      </c>
      <c r="G176" s="90" t="s">
        <v>63</v>
      </c>
      <c r="H176" s="93"/>
      <c r="I176" s="96"/>
    </row>
    <row r="177" spans="1:9" ht="61.5" customHeight="1" x14ac:dyDescent="0.35">
      <c r="A177" s="293"/>
      <c r="B177" s="302"/>
      <c r="C177" s="323"/>
      <c r="D177" s="326"/>
      <c r="E177" s="323"/>
      <c r="F177" s="87" t="s">
        <v>140</v>
      </c>
      <c r="G177" s="90" t="s">
        <v>62</v>
      </c>
      <c r="H177" s="93" t="s">
        <v>239</v>
      </c>
      <c r="I177" s="97" t="s">
        <v>240</v>
      </c>
    </row>
    <row r="178" spans="1:9" ht="61.5" customHeight="1" x14ac:dyDescent="0.35">
      <c r="A178" s="293"/>
      <c r="B178" s="302"/>
      <c r="C178" s="323"/>
      <c r="D178" s="326"/>
      <c r="E178" s="323"/>
      <c r="F178" s="87" t="s">
        <v>141</v>
      </c>
      <c r="G178" s="90" t="s">
        <v>66</v>
      </c>
      <c r="H178" s="93"/>
      <c r="I178" s="97" t="s">
        <v>241</v>
      </c>
    </row>
    <row r="179" spans="1:9" ht="61.5" customHeight="1" x14ac:dyDescent="0.35">
      <c r="A179" s="293"/>
      <c r="B179" s="302"/>
      <c r="C179" s="323"/>
      <c r="D179" s="326"/>
      <c r="E179" s="323"/>
      <c r="F179" s="87"/>
      <c r="G179" s="90" t="s">
        <v>68</v>
      </c>
      <c r="H179" s="93"/>
      <c r="I179" s="97" t="s">
        <v>242</v>
      </c>
    </row>
    <row r="180" spans="1:9" ht="61.5" customHeight="1" x14ac:dyDescent="0.35">
      <c r="A180" s="293"/>
      <c r="B180" s="302"/>
      <c r="C180" s="323"/>
      <c r="D180" s="326"/>
      <c r="E180" s="323"/>
      <c r="F180" s="87"/>
      <c r="G180" s="91"/>
      <c r="H180" s="93"/>
      <c r="I180" s="97" t="s">
        <v>243</v>
      </c>
    </row>
    <row r="181" spans="1:9" ht="61.5" customHeight="1" x14ac:dyDescent="0.35">
      <c r="A181" s="293"/>
      <c r="B181" s="302"/>
      <c r="C181" s="323"/>
      <c r="D181" s="326"/>
      <c r="E181" s="323"/>
      <c r="F181" s="87"/>
      <c r="G181" s="90" t="s">
        <v>244</v>
      </c>
      <c r="H181" s="93"/>
      <c r="I181" s="97" t="s">
        <v>245</v>
      </c>
    </row>
    <row r="182" spans="1:9" ht="61.5" customHeight="1" x14ac:dyDescent="0.35">
      <c r="A182" s="293"/>
      <c r="B182" s="302"/>
      <c r="C182" s="323"/>
      <c r="D182" s="326"/>
      <c r="E182" s="323"/>
      <c r="F182" s="87"/>
      <c r="G182" s="90" t="s">
        <v>246</v>
      </c>
      <c r="H182" s="93"/>
      <c r="I182" s="97" t="s">
        <v>247</v>
      </c>
    </row>
    <row r="183" spans="1:9" ht="61.5" customHeight="1" x14ac:dyDescent="0.35">
      <c r="A183" s="293"/>
      <c r="B183" s="302"/>
      <c r="C183" s="323"/>
      <c r="D183" s="326"/>
      <c r="E183" s="323"/>
      <c r="F183" s="87"/>
      <c r="G183" s="90" t="s">
        <v>178</v>
      </c>
      <c r="H183" s="93"/>
      <c r="I183" s="97" t="s">
        <v>248</v>
      </c>
    </row>
    <row r="184" spans="1:9" ht="61.5" customHeight="1" x14ac:dyDescent="0.35">
      <c r="A184" s="293"/>
      <c r="B184" s="302"/>
      <c r="C184" s="323"/>
      <c r="D184" s="326"/>
      <c r="E184" s="323"/>
      <c r="F184" s="87"/>
      <c r="G184" s="90"/>
      <c r="H184" s="93"/>
      <c r="I184" s="97" t="s">
        <v>249</v>
      </c>
    </row>
    <row r="185" spans="1:9" ht="61.5" customHeight="1" x14ac:dyDescent="0.35">
      <c r="A185" s="294"/>
      <c r="B185" s="303"/>
      <c r="C185" s="324"/>
      <c r="D185" s="327"/>
      <c r="E185" s="324"/>
      <c r="F185" s="88"/>
      <c r="G185" s="92"/>
      <c r="H185" s="94"/>
      <c r="I185" s="98" t="s">
        <v>250</v>
      </c>
    </row>
    <row r="186" spans="1:9" ht="61.5" customHeight="1" x14ac:dyDescent="0.35">
      <c r="A186" s="292"/>
      <c r="B186" s="301" t="s">
        <v>251</v>
      </c>
      <c r="C186" s="319" t="s">
        <v>252</v>
      </c>
      <c r="D186" s="301" t="s">
        <v>90</v>
      </c>
      <c r="E186" s="313" t="s">
        <v>91</v>
      </c>
      <c r="F186" s="301"/>
      <c r="G186" s="76" t="s">
        <v>93</v>
      </c>
      <c r="H186" s="99"/>
      <c r="I186" s="301"/>
    </row>
    <row r="187" spans="1:9" ht="61.5" customHeight="1" x14ac:dyDescent="0.35">
      <c r="A187" s="293"/>
      <c r="B187" s="302"/>
      <c r="C187" s="320"/>
      <c r="D187" s="302"/>
      <c r="E187" s="314"/>
      <c r="F187" s="302"/>
      <c r="G187" s="79"/>
      <c r="H187" s="79"/>
      <c r="I187" s="302"/>
    </row>
    <row r="188" spans="1:9" ht="61.5" customHeight="1" x14ac:dyDescent="0.35">
      <c r="A188" s="293"/>
      <c r="B188" s="302"/>
      <c r="C188" s="320"/>
      <c r="D188" s="302"/>
      <c r="E188" s="314"/>
      <c r="F188" s="302"/>
      <c r="G188" s="77" t="s">
        <v>62</v>
      </c>
      <c r="H188" s="77" t="s">
        <v>253</v>
      </c>
      <c r="I188" s="302"/>
    </row>
    <row r="189" spans="1:9" ht="61.5" customHeight="1" x14ac:dyDescent="0.35">
      <c r="A189" s="293"/>
      <c r="B189" s="302"/>
      <c r="C189" s="320"/>
      <c r="D189" s="302"/>
      <c r="E189" s="314"/>
      <c r="F189" s="302"/>
      <c r="G189" s="77" t="s">
        <v>98</v>
      </c>
      <c r="H189" s="77" t="s">
        <v>254</v>
      </c>
      <c r="I189" s="302"/>
    </row>
    <row r="190" spans="1:9" ht="61.5" customHeight="1" x14ac:dyDescent="0.35">
      <c r="A190" s="294"/>
      <c r="B190" s="303"/>
      <c r="C190" s="321"/>
      <c r="D190" s="303"/>
      <c r="E190" s="315"/>
      <c r="F190" s="303"/>
      <c r="G190" s="78" t="s">
        <v>100</v>
      </c>
      <c r="H190" s="78" t="s">
        <v>255</v>
      </c>
      <c r="I190" s="303"/>
    </row>
    <row r="191" spans="1:9" ht="61.5" customHeight="1" x14ac:dyDescent="0.35">
      <c r="A191" s="316"/>
      <c r="B191" s="301" t="s">
        <v>256</v>
      </c>
      <c r="C191" s="313" t="s">
        <v>257</v>
      </c>
      <c r="D191" s="301" t="s">
        <v>90</v>
      </c>
      <c r="E191" s="313" t="s">
        <v>111</v>
      </c>
      <c r="F191" s="301"/>
      <c r="G191" s="76" t="s">
        <v>112</v>
      </c>
      <c r="H191" s="76" t="s">
        <v>253</v>
      </c>
      <c r="I191" s="301"/>
    </row>
    <row r="192" spans="1:9" ht="61.5" customHeight="1" x14ac:dyDescent="0.35">
      <c r="A192" s="317"/>
      <c r="B192" s="302"/>
      <c r="C192" s="314"/>
      <c r="D192" s="302"/>
      <c r="E192" s="314"/>
      <c r="F192" s="302"/>
      <c r="G192" s="79"/>
      <c r="H192" s="77" t="s">
        <v>254</v>
      </c>
      <c r="I192" s="302"/>
    </row>
    <row r="193" spans="1:9" ht="61.5" customHeight="1" x14ac:dyDescent="0.35">
      <c r="A193" s="317"/>
      <c r="B193" s="302"/>
      <c r="C193" s="314"/>
      <c r="D193" s="302"/>
      <c r="E193" s="314"/>
      <c r="F193" s="302"/>
      <c r="G193" s="77" t="s">
        <v>114</v>
      </c>
      <c r="H193" s="77" t="s">
        <v>258</v>
      </c>
      <c r="I193" s="302"/>
    </row>
    <row r="194" spans="1:9" ht="61.5" customHeight="1" x14ac:dyDescent="0.35">
      <c r="A194" s="317"/>
      <c r="B194" s="302"/>
      <c r="C194" s="314"/>
      <c r="D194" s="302"/>
      <c r="E194" s="314"/>
      <c r="F194" s="302"/>
      <c r="G194" s="77" t="s">
        <v>62</v>
      </c>
      <c r="H194" s="77" t="s">
        <v>259</v>
      </c>
      <c r="I194" s="302"/>
    </row>
    <row r="195" spans="1:9" ht="61.5" customHeight="1" x14ac:dyDescent="0.35">
      <c r="A195" s="317"/>
      <c r="B195" s="302"/>
      <c r="C195" s="314"/>
      <c r="D195" s="302"/>
      <c r="E195" s="314"/>
      <c r="F195" s="302"/>
      <c r="G195" s="77" t="s">
        <v>98</v>
      </c>
      <c r="H195" s="79"/>
      <c r="I195" s="302"/>
    </row>
    <row r="196" spans="1:9" ht="61.5" customHeight="1" x14ac:dyDescent="0.35">
      <c r="A196" s="317"/>
      <c r="B196" s="302"/>
      <c r="C196" s="314"/>
      <c r="D196" s="302"/>
      <c r="E196" s="314"/>
      <c r="F196" s="302"/>
      <c r="G196" s="77" t="s">
        <v>100</v>
      </c>
      <c r="H196" s="77" t="s">
        <v>260</v>
      </c>
      <c r="I196" s="302"/>
    </row>
    <row r="197" spans="1:9" ht="61.5" customHeight="1" x14ac:dyDescent="0.35">
      <c r="A197" s="317"/>
      <c r="B197" s="302"/>
      <c r="C197" s="314"/>
      <c r="D197" s="302"/>
      <c r="E197" s="314"/>
      <c r="F197" s="302"/>
      <c r="G197" s="77"/>
      <c r="H197" s="77" t="s">
        <v>119</v>
      </c>
      <c r="I197" s="302"/>
    </row>
    <row r="198" spans="1:9" ht="61.5" customHeight="1" x14ac:dyDescent="0.35">
      <c r="A198" s="317"/>
      <c r="B198" s="302"/>
      <c r="C198" s="314"/>
      <c r="D198" s="302"/>
      <c r="E198" s="314"/>
      <c r="F198" s="302"/>
      <c r="G198" s="77"/>
      <c r="H198" s="77" t="s">
        <v>105</v>
      </c>
      <c r="I198" s="302"/>
    </row>
    <row r="199" spans="1:9" ht="61.5" customHeight="1" x14ac:dyDescent="0.35">
      <c r="A199" s="317"/>
      <c r="B199" s="302"/>
      <c r="C199" s="314"/>
      <c r="D199" s="302"/>
      <c r="E199" s="314"/>
      <c r="F199" s="302"/>
      <c r="G199" s="77"/>
      <c r="H199" s="77" t="s">
        <v>106</v>
      </c>
      <c r="I199" s="302"/>
    </row>
    <row r="200" spans="1:9" ht="61.5" customHeight="1" x14ac:dyDescent="0.35">
      <c r="A200" s="318"/>
      <c r="B200" s="303"/>
      <c r="C200" s="315"/>
      <c r="D200" s="303"/>
      <c r="E200" s="315"/>
      <c r="F200" s="303"/>
      <c r="G200" s="78"/>
      <c r="H200" s="78" t="s">
        <v>107</v>
      </c>
      <c r="I200" s="303"/>
    </row>
    <row r="201" spans="1:9" ht="61.5" customHeight="1" x14ac:dyDescent="0.35">
      <c r="A201" s="292"/>
      <c r="B201" s="304" t="s">
        <v>261</v>
      </c>
      <c r="C201" s="307" t="s">
        <v>262</v>
      </c>
      <c r="D201" s="310" t="s">
        <v>263</v>
      </c>
      <c r="E201" s="313" t="s">
        <v>91</v>
      </c>
      <c r="F201" s="100" t="s">
        <v>138</v>
      </c>
      <c r="G201" s="76" t="s">
        <v>93</v>
      </c>
      <c r="H201" s="103"/>
      <c r="I201" s="304"/>
    </row>
    <row r="202" spans="1:9" ht="61.5" customHeight="1" x14ac:dyDescent="0.35">
      <c r="A202" s="293"/>
      <c r="B202" s="305"/>
      <c r="C202" s="308"/>
      <c r="D202" s="311"/>
      <c r="E202" s="314"/>
      <c r="F202" s="101" t="s">
        <v>264</v>
      </c>
      <c r="G202" s="79"/>
      <c r="H202" s="104"/>
      <c r="I202" s="305"/>
    </row>
    <row r="203" spans="1:9" ht="61.5" customHeight="1" x14ac:dyDescent="0.35">
      <c r="A203" s="293"/>
      <c r="B203" s="305"/>
      <c r="C203" s="308"/>
      <c r="D203" s="311"/>
      <c r="E203" s="314"/>
      <c r="F203" s="101" t="s">
        <v>265</v>
      </c>
      <c r="G203" s="77" t="s">
        <v>62</v>
      </c>
      <c r="H203" s="101" t="s">
        <v>266</v>
      </c>
      <c r="I203" s="305"/>
    </row>
    <row r="204" spans="1:9" ht="61.5" customHeight="1" x14ac:dyDescent="0.35">
      <c r="A204" s="293"/>
      <c r="B204" s="305"/>
      <c r="C204" s="308"/>
      <c r="D204" s="311"/>
      <c r="E204" s="314"/>
      <c r="F204" s="101" t="s">
        <v>267</v>
      </c>
      <c r="G204" s="77" t="s">
        <v>98</v>
      </c>
      <c r="H204" s="104"/>
      <c r="I204" s="305"/>
    </row>
    <row r="205" spans="1:9" ht="61.5" customHeight="1" x14ac:dyDescent="0.35">
      <c r="A205" s="293"/>
      <c r="B205" s="305"/>
      <c r="C205" s="308"/>
      <c r="D205" s="311"/>
      <c r="E205" s="314"/>
      <c r="F205" s="101" t="s">
        <v>268</v>
      </c>
      <c r="G205" s="77" t="s">
        <v>100</v>
      </c>
      <c r="H205" s="101" t="s">
        <v>269</v>
      </c>
      <c r="I205" s="305"/>
    </row>
    <row r="206" spans="1:9" ht="61.5" customHeight="1" x14ac:dyDescent="0.35">
      <c r="A206" s="293"/>
      <c r="B206" s="305"/>
      <c r="C206" s="308"/>
      <c r="D206" s="311"/>
      <c r="E206" s="314"/>
      <c r="F206" s="101" t="s">
        <v>270</v>
      </c>
      <c r="G206" s="79"/>
      <c r="H206" s="101" t="s">
        <v>271</v>
      </c>
      <c r="I206" s="305"/>
    </row>
    <row r="207" spans="1:9" ht="61.5" customHeight="1" x14ac:dyDescent="0.35">
      <c r="A207" s="293"/>
      <c r="B207" s="305"/>
      <c r="C207" s="308"/>
      <c r="D207" s="311"/>
      <c r="E207" s="314"/>
      <c r="F207" s="101" t="s">
        <v>272</v>
      </c>
      <c r="G207" s="77" t="s">
        <v>103</v>
      </c>
      <c r="H207" s="101" t="s">
        <v>273</v>
      </c>
      <c r="I207" s="305"/>
    </row>
    <row r="208" spans="1:9" ht="61.5" customHeight="1" x14ac:dyDescent="0.35">
      <c r="A208" s="293"/>
      <c r="B208" s="305"/>
      <c r="C208" s="308"/>
      <c r="D208" s="311"/>
      <c r="E208" s="314"/>
      <c r="F208" s="101" t="s">
        <v>274</v>
      </c>
      <c r="G208" s="77" t="s">
        <v>275</v>
      </c>
      <c r="H208" s="101" t="s">
        <v>276</v>
      </c>
      <c r="I208" s="305"/>
    </row>
    <row r="209" spans="1:9" ht="61.5" customHeight="1" x14ac:dyDescent="0.35">
      <c r="A209" s="293"/>
      <c r="B209" s="305"/>
      <c r="C209" s="308"/>
      <c r="D209" s="311"/>
      <c r="E209" s="314"/>
      <c r="F209" s="101" t="s">
        <v>277</v>
      </c>
      <c r="G209" s="77" t="s">
        <v>278</v>
      </c>
      <c r="H209" s="101" t="s">
        <v>279</v>
      </c>
      <c r="I209" s="305"/>
    </row>
    <row r="210" spans="1:9" ht="61.5" customHeight="1" x14ac:dyDescent="0.35">
      <c r="A210" s="293"/>
      <c r="B210" s="305"/>
      <c r="C210" s="308"/>
      <c r="D210" s="311"/>
      <c r="E210" s="314"/>
      <c r="F210" s="101" t="s">
        <v>280</v>
      </c>
      <c r="G210" s="77" t="s">
        <v>178</v>
      </c>
      <c r="H210" s="101"/>
      <c r="I210" s="305"/>
    </row>
    <row r="211" spans="1:9" ht="61.5" customHeight="1" x14ac:dyDescent="0.35">
      <c r="A211" s="293"/>
      <c r="B211" s="305"/>
      <c r="C211" s="308"/>
      <c r="D211" s="311"/>
      <c r="E211" s="314"/>
      <c r="F211" s="101" t="s">
        <v>281</v>
      </c>
      <c r="G211" s="77"/>
      <c r="H211" s="101"/>
      <c r="I211" s="305"/>
    </row>
    <row r="212" spans="1:9" ht="61.5" customHeight="1" x14ac:dyDescent="0.35">
      <c r="A212" s="293"/>
      <c r="B212" s="305"/>
      <c r="C212" s="308"/>
      <c r="D212" s="311"/>
      <c r="E212" s="314"/>
      <c r="F212" s="101" t="s">
        <v>282</v>
      </c>
      <c r="G212" s="77"/>
      <c r="H212" s="101"/>
      <c r="I212" s="305"/>
    </row>
    <row r="213" spans="1:9" ht="61.5" customHeight="1" x14ac:dyDescent="0.35">
      <c r="A213" s="293"/>
      <c r="B213" s="305"/>
      <c r="C213" s="308"/>
      <c r="D213" s="311"/>
      <c r="E213" s="314"/>
      <c r="F213" s="101" t="s">
        <v>283</v>
      </c>
      <c r="G213" s="77"/>
      <c r="H213" s="101"/>
      <c r="I213" s="305"/>
    </row>
    <row r="214" spans="1:9" ht="61.5" customHeight="1" x14ac:dyDescent="0.35">
      <c r="A214" s="293"/>
      <c r="B214" s="305"/>
      <c r="C214" s="308"/>
      <c r="D214" s="311"/>
      <c r="E214" s="314"/>
      <c r="F214" s="101" t="s">
        <v>284</v>
      </c>
      <c r="G214" s="77"/>
      <c r="H214" s="101"/>
      <c r="I214" s="305"/>
    </row>
    <row r="215" spans="1:9" ht="61.5" customHeight="1" x14ac:dyDescent="0.35">
      <c r="A215" s="293"/>
      <c r="B215" s="305"/>
      <c r="C215" s="308"/>
      <c r="D215" s="311"/>
      <c r="E215" s="314"/>
      <c r="F215" s="101" t="s">
        <v>285</v>
      </c>
      <c r="G215" s="77"/>
      <c r="H215" s="101"/>
      <c r="I215" s="305"/>
    </row>
    <row r="216" spans="1:9" ht="61.5" customHeight="1" x14ac:dyDescent="0.35">
      <c r="A216" s="293"/>
      <c r="B216" s="305"/>
      <c r="C216" s="308"/>
      <c r="D216" s="311"/>
      <c r="E216" s="314"/>
      <c r="F216" s="101" t="s">
        <v>286</v>
      </c>
      <c r="G216" s="77"/>
      <c r="H216" s="101"/>
      <c r="I216" s="305"/>
    </row>
    <row r="217" spans="1:9" ht="61.5" customHeight="1" x14ac:dyDescent="0.35">
      <c r="A217" s="293"/>
      <c r="B217" s="305"/>
      <c r="C217" s="308"/>
      <c r="D217" s="311"/>
      <c r="E217" s="314"/>
      <c r="F217" s="101" t="s">
        <v>287</v>
      </c>
      <c r="G217" s="77"/>
      <c r="H217" s="101"/>
      <c r="I217" s="305"/>
    </row>
    <row r="218" spans="1:9" ht="61.5" customHeight="1" x14ac:dyDescent="0.35">
      <c r="A218" s="293"/>
      <c r="B218" s="305"/>
      <c r="C218" s="308"/>
      <c r="D218" s="311"/>
      <c r="E218" s="314"/>
      <c r="F218" s="101" t="s">
        <v>288</v>
      </c>
      <c r="G218" s="77"/>
      <c r="H218" s="101"/>
      <c r="I218" s="305"/>
    </row>
    <row r="219" spans="1:9" ht="61.5" customHeight="1" x14ac:dyDescent="0.35">
      <c r="A219" s="293"/>
      <c r="B219" s="305"/>
      <c r="C219" s="308"/>
      <c r="D219" s="311"/>
      <c r="E219" s="314"/>
      <c r="F219" s="101" t="s">
        <v>289</v>
      </c>
      <c r="G219" s="77"/>
      <c r="H219" s="101"/>
      <c r="I219" s="305"/>
    </row>
    <row r="220" spans="1:9" ht="61.5" customHeight="1" x14ac:dyDescent="0.35">
      <c r="A220" s="293"/>
      <c r="B220" s="305"/>
      <c r="C220" s="308"/>
      <c r="D220" s="311"/>
      <c r="E220" s="314"/>
      <c r="F220" s="101" t="s">
        <v>290</v>
      </c>
      <c r="G220" s="77"/>
      <c r="H220" s="101"/>
      <c r="I220" s="305"/>
    </row>
    <row r="221" spans="1:9" ht="61.5" customHeight="1" x14ac:dyDescent="0.35">
      <c r="A221" s="293"/>
      <c r="B221" s="305"/>
      <c r="C221" s="308"/>
      <c r="D221" s="311"/>
      <c r="E221" s="314"/>
      <c r="F221" s="101" t="s">
        <v>291</v>
      </c>
      <c r="G221" s="77"/>
      <c r="H221" s="101"/>
      <c r="I221" s="305"/>
    </row>
    <row r="222" spans="1:9" ht="61.5" customHeight="1" x14ac:dyDescent="0.35">
      <c r="A222" s="293"/>
      <c r="B222" s="305"/>
      <c r="C222" s="308"/>
      <c r="D222" s="311"/>
      <c r="E222" s="314"/>
      <c r="F222" s="101" t="s">
        <v>292</v>
      </c>
      <c r="G222" s="77"/>
      <c r="H222" s="101"/>
      <c r="I222" s="305"/>
    </row>
    <row r="223" spans="1:9" ht="61.5" customHeight="1" x14ac:dyDescent="0.35">
      <c r="A223" s="293"/>
      <c r="B223" s="305"/>
      <c r="C223" s="308"/>
      <c r="D223" s="311"/>
      <c r="E223" s="314"/>
      <c r="F223" s="101" t="s">
        <v>293</v>
      </c>
      <c r="G223" s="77"/>
      <c r="H223" s="101"/>
      <c r="I223" s="305"/>
    </row>
    <row r="224" spans="1:9" ht="61.5" customHeight="1" x14ac:dyDescent="0.35">
      <c r="A224" s="293"/>
      <c r="B224" s="305"/>
      <c r="C224" s="308"/>
      <c r="D224" s="311"/>
      <c r="E224" s="314"/>
      <c r="F224" s="101" t="s">
        <v>158</v>
      </c>
      <c r="G224" s="77"/>
      <c r="H224" s="101"/>
      <c r="I224" s="305"/>
    </row>
    <row r="225" spans="1:9" ht="61.5" customHeight="1" x14ac:dyDescent="0.35">
      <c r="A225" s="293"/>
      <c r="B225" s="305"/>
      <c r="C225" s="308"/>
      <c r="D225" s="311"/>
      <c r="E225" s="314"/>
      <c r="F225" s="101" t="s">
        <v>159</v>
      </c>
      <c r="G225" s="77"/>
      <c r="H225" s="101"/>
      <c r="I225" s="305"/>
    </row>
    <row r="226" spans="1:9" ht="61.5" customHeight="1" x14ac:dyDescent="0.35">
      <c r="A226" s="293"/>
      <c r="B226" s="305"/>
      <c r="C226" s="308"/>
      <c r="D226" s="311"/>
      <c r="E226" s="314"/>
      <c r="F226" s="101" t="s">
        <v>264</v>
      </c>
      <c r="G226" s="77"/>
      <c r="H226" s="101"/>
      <c r="I226" s="305"/>
    </row>
    <row r="227" spans="1:9" ht="61.5" customHeight="1" x14ac:dyDescent="0.35">
      <c r="A227" s="293"/>
      <c r="B227" s="305"/>
      <c r="C227" s="308"/>
      <c r="D227" s="311"/>
      <c r="E227" s="314"/>
      <c r="F227" s="101" t="s">
        <v>265</v>
      </c>
      <c r="G227" s="77"/>
      <c r="H227" s="101"/>
      <c r="I227" s="305"/>
    </row>
    <row r="228" spans="1:9" ht="61.5" customHeight="1" x14ac:dyDescent="0.35">
      <c r="A228" s="293"/>
      <c r="B228" s="305"/>
      <c r="C228" s="308"/>
      <c r="D228" s="311"/>
      <c r="E228" s="314"/>
      <c r="F228" s="101" t="s">
        <v>267</v>
      </c>
      <c r="G228" s="77"/>
      <c r="H228" s="101"/>
      <c r="I228" s="305"/>
    </row>
    <row r="229" spans="1:9" ht="61.5" customHeight="1" x14ac:dyDescent="0.35">
      <c r="A229" s="293"/>
      <c r="B229" s="305"/>
      <c r="C229" s="308"/>
      <c r="D229" s="311"/>
      <c r="E229" s="314"/>
      <c r="F229" s="101" t="s">
        <v>268</v>
      </c>
      <c r="G229" s="77"/>
      <c r="H229" s="101"/>
      <c r="I229" s="305"/>
    </row>
    <row r="230" spans="1:9" ht="61.5" customHeight="1" x14ac:dyDescent="0.35">
      <c r="A230" s="293"/>
      <c r="B230" s="305"/>
      <c r="C230" s="308"/>
      <c r="D230" s="311"/>
      <c r="E230" s="314"/>
      <c r="F230" s="101" t="s">
        <v>294</v>
      </c>
      <c r="G230" s="77"/>
      <c r="H230" s="101"/>
      <c r="I230" s="305"/>
    </row>
    <row r="231" spans="1:9" ht="61.5" customHeight="1" x14ac:dyDescent="0.35">
      <c r="A231" s="294"/>
      <c r="B231" s="306"/>
      <c r="C231" s="309"/>
      <c r="D231" s="312"/>
      <c r="E231" s="315"/>
      <c r="F231" s="102" t="s">
        <v>169</v>
      </c>
      <c r="G231" s="78"/>
      <c r="H231" s="102"/>
      <c r="I231" s="306"/>
    </row>
    <row r="232" spans="1:9" ht="61.5" customHeight="1" x14ac:dyDescent="0.35">
      <c r="A232" s="292"/>
      <c r="B232" s="295" t="s">
        <v>295</v>
      </c>
      <c r="C232" s="298" t="s">
        <v>296</v>
      </c>
      <c r="D232" s="301" t="s">
        <v>90</v>
      </c>
      <c r="E232" s="298" t="s">
        <v>111</v>
      </c>
      <c r="F232" s="105" t="s">
        <v>297</v>
      </c>
      <c r="G232" s="105" t="s">
        <v>112</v>
      </c>
      <c r="H232" s="105" t="s">
        <v>298</v>
      </c>
      <c r="I232" s="295"/>
    </row>
    <row r="233" spans="1:9" ht="61.5" customHeight="1" x14ac:dyDescent="0.35">
      <c r="A233" s="293"/>
      <c r="B233" s="296"/>
      <c r="C233" s="299"/>
      <c r="D233" s="302"/>
      <c r="E233" s="299"/>
      <c r="F233" s="106" t="s">
        <v>62</v>
      </c>
      <c r="G233" s="108"/>
      <c r="H233" s="106" t="s">
        <v>119</v>
      </c>
      <c r="I233" s="296"/>
    </row>
    <row r="234" spans="1:9" ht="111.65" customHeight="1" x14ac:dyDescent="0.35">
      <c r="A234" s="293"/>
      <c r="B234" s="296"/>
      <c r="C234" s="299"/>
      <c r="D234" s="302"/>
      <c r="E234" s="299"/>
      <c r="F234" s="106" t="s">
        <v>95</v>
      </c>
      <c r="G234" s="106" t="s">
        <v>114</v>
      </c>
      <c r="H234" s="106" t="s">
        <v>105</v>
      </c>
      <c r="I234" s="296"/>
    </row>
    <row r="235" spans="1:9" ht="111.65" customHeight="1" x14ac:dyDescent="0.35">
      <c r="A235" s="293"/>
      <c r="B235" s="296"/>
      <c r="C235" s="299"/>
      <c r="D235" s="302"/>
      <c r="E235" s="299"/>
      <c r="F235" s="106" t="s">
        <v>97</v>
      </c>
      <c r="G235" s="106" t="s">
        <v>62</v>
      </c>
      <c r="H235" s="106" t="s">
        <v>106</v>
      </c>
      <c r="I235" s="296"/>
    </row>
    <row r="236" spans="1:9" ht="111.65" customHeight="1" x14ac:dyDescent="0.35">
      <c r="A236" s="293"/>
      <c r="B236" s="296"/>
      <c r="C236" s="299"/>
      <c r="D236" s="302"/>
      <c r="E236" s="299"/>
      <c r="F236" s="106" t="s">
        <v>299</v>
      </c>
      <c r="G236" s="106" t="s">
        <v>98</v>
      </c>
      <c r="H236" s="106" t="s">
        <v>107</v>
      </c>
      <c r="I236" s="296"/>
    </row>
    <row r="237" spans="1:9" ht="111.65" customHeight="1" x14ac:dyDescent="0.35">
      <c r="A237" s="293"/>
      <c r="B237" s="296"/>
      <c r="C237" s="299"/>
      <c r="D237" s="302"/>
      <c r="E237" s="299"/>
      <c r="F237" s="106" t="s">
        <v>159</v>
      </c>
      <c r="G237" s="106" t="s">
        <v>100</v>
      </c>
      <c r="H237" s="108"/>
      <c r="I237" s="296"/>
    </row>
    <row r="238" spans="1:9" ht="75" customHeight="1" x14ac:dyDescent="0.35">
      <c r="A238" s="293"/>
      <c r="B238" s="296"/>
      <c r="C238" s="299"/>
      <c r="D238" s="302"/>
      <c r="E238" s="299"/>
      <c r="F238" s="106" t="s">
        <v>300</v>
      </c>
      <c r="G238" s="108"/>
      <c r="H238" s="106" t="s">
        <v>301</v>
      </c>
      <c r="I238" s="296"/>
    </row>
    <row r="239" spans="1:9" ht="75" customHeight="1" x14ac:dyDescent="0.35">
      <c r="A239" s="293"/>
      <c r="B239" s="296"/>
      <c r="C239" s="299"/>
      <c r="D239" s="302"/>
      <c r="E239" s="299"/>
      <c r="F239" s="106" t="s">
        <v>302</v>
      </c>
      <c r="G239" s="109" t="s">
        <v>303</v>
      </c>
      <c r="H239" s="106" t="s">
        <v>304</v>
      </c>
      <c r="I239" s="296"/>
    </row>
    <row r="240" spans="1:9" ht="75" customHeight="1" x14ac:dyDescent="0.35">
      <c r="A240" s="293"/>
      <c r="B240" s="296"/>
      <c r="C240" s="299"/>
      <c r="D240" s="302"/>
      <c r="E240" s="299"/>
      <c r="F240" s="106" t="s">
        <v>305</v>
      </c>
      <c r="G240" s="109" t="s">
        <v>306</v>
      </c>
      <c r="H240" s="108"/>
      <c r="I240" s="296"/>
    </row>
    <row r="241" spans="1:9" ht="75" customHeight="1" x14ac:dyDescent="0.35">
      <c r="A241" s="294"/>
      <c r="B241" s="297"/>
      <c r="C241" s="300"/>
      <c r="D241" s="303"/>
      <c r="E241" s="300"/>
      <c r="F241" s="107" t="s">
        <v>307</v>
      </c>
      <c r="G241" s="110" t="s">
        <v>75</v>
      </c>
      <c r="H241" s="110" t="s">
        <v>308</v>
      </c>
      <c r="I241" s="297"/>
    </row>
  </sheetData>
  <mergeCells count="157">
    <mergeCell ref="A1:A3"/>
    <mergeCell ref="B1:B3"/>
    <mergeCell ref="E1:E3"/>
    <mergeCell ref="H1:H3"/>
    <mergeCell ref="I1:I3"/>
    <mergeCell ref="A4:A14"/>
    <mergeCell ref="B4:B14"/>
    <mergeCell ref="C4:C14"/>
    <mergeCell ref="D4:D14"/>
    <mergeCell ref="E4:E14"/>
    <mergeCell ref="A25:A36"/>
    <mergeCell ref="B25:B36"/>
    <mergeCell ref="C25:C36"/>
    <mergeCell ref="D25:D36"/>
    <mergeCell ref="E25:E36"/>
    <mergeCell ref="I25:I36"/>
    <mergeCell ref="H4:H14"/>
    <mergeCell ref="I4:I14"/>
    <mergeCell ref="A15:A24"/>
    <mergeCell ref="B15:B24"/>
    <mergeCell ref="C15:C24"/>
    <mergeCell ref="D15:D24"/>
    <mergeCell ref="E15:E24"/>
    <mergeCell ref="H15:H24"/>
    <mergeCell ref="I15:I24"/>
    <mergeCell ref="A53:A63"/>
    <mergeCell ref="B53:B63"/>
    <mergeCell ref="D53:D63"/>
    <mergeCell ref="E53:E63"/>
    <mergeCell ref="F53:F63"/>
    <mergeCell ref="I53:I63"/>
    <mergeCell ref="A37:A52"/>
    <mergeCell ref="B37:B52"/>
    <mergeCell ref="C37:C52"/>
    <mergeCell ref="E37:E52"/>
    <mergeCell ref="F37:F52"/>
    <mergeCell ref="I37:I52"/>
    <mergeCell ref="I64:I73"/>
    <mergeCell ref="A74:A93"/>
    <mergeCell ref="B74:B93"/>
    <mergeCell ref="C74:C93"/>
    <mergeCell ref="D74:D93"/>
    <mergeCell ref="E74:E93"/>
    <mergeCell ref="H74:H93"/>
    <mergeCell ref="I74:I93"/>
    <mergeCell ref="A64:A73"/>
    <mergeCell ref="B64:B73"/>
    <mergeCell ref="C64:C73"/>
    <mergeCell ref="D64:D73"/>
    <mergeCell ref="E64:E73"/>
    <mergeCell ref="H64:H73"/>
    <mergeCell ref="A94:A98"/>
    <mergeCell ref="B94:B98"/>
    <mergeCell ref="C94:C98"/>
    <mergeCell ref="H94:H98"/>
    <mergeCell ref="I94:I98"/>
    <mergeCell ref="A99:A108"/>
    <mergeCell ref="B99:B108"/>
    <mergeCell ref="C99:C108"/>
    <mergeCell ref="D99:D108"/>
    <mergeCell ref="E99:E108"/>
    <mergeCell ref="A117:A121"/>
    <mergeCell ref="B117:B121"/>
    <mergeCell ref="C117:C121"/>
    <mergeCell ref="E117:E121"/>
    <mergeCell ref="F117:F121"/>
    <mergeCell ref="I117:I121"/>
    <mergeCell ref="H99:H108"/>
    <mergeCell ref="I99:I108"/>
    <mergeCell ref="A109:A116"/>
    <mergeCell ref="B109:B116"/>
    <mergeCell ref="C109:C116"/>
    <mergeCell ref="E109:E116"/>
    <mergeCell ref="F109:F116"/>
    <mergeCell ref="H109:H116"/>
    <mergeCell ref="I109:I116"/>
    <mergeCell ref="H122:H126"/>
    <mergeCell ref="I122:I126"/>
    <mergeCell ref="A127:A130"/>
    <mergeCell ref="B127:B130"/>
    <mergeCell ref="C127:C130"/>
    <mergeCell ref="D127:D130"/>
    <mergeCell ref="E127:E130"/>
    <mergeCell ref="F127:F130"/>
    <mergeCell ref="H127:H130"/>
    <mergeCell ref="I127:I130"/>
    <mergeCell ref="A122:A126"/>
    <mergeCell ref="B122:B126"/>
    <mergeCell ref="C122:C126"/>
    <mergeCell ref="D122:D126"/>
    <mergeCell ref="E122:E126"/>
    <mergeCell ref="F122:F126"/>
    <mergeCell ref="A142:A148"/>
    <mergeCell ref="B142:B148"/>
    <mergeCell ref="C142:C148"/>
    <mergeCell ref="E142:E148"/>
    <mergeCell ref="F142:F148"/>
    <mergeCell ref="I142:I148"/>
    <mergeCell ref="H131:H135"/>
    <mergeCell ref="I131:I135"/>
    <mergeCell ref="A136:A141"/>
    <mergeCell ref="B136:B141"/>
    <mergeCell ref="C136:C141"/>
    <mergeCell ref="D136:D141"/>
    <mergeCell ref="E136:E141"/>
    <mergeCell ref="F136:F141"/>
    <mergeCell ref="H136:H141"/>
    <mergeCell ref="I136:I141"/>
    <mergeCell ref="A131:A135"/>
    <mergeCell ref="B131:B135"/>
    <mergeCell ref="C131:C135"/>
    <mergeCell ref="D131:D135"/>
    <mergeCell ref="E131:E135"/>
    <mergeCell ref="F131:F135"/>
    <mergeCell ref="H159:H174"/>
    <mergeCell ref="I159:I174"/>
    <mergeCell ref="A175:A185"/>
    <mergeCell ref="B175:B185"/>
    <mergeCell ref="C175:C185"/>
    <mergeCell ref="D175:D185"/>
    <mergeCell ref="E175:E185"/>
    <mergeCell ref="A149:A158"/>
    <mergeCell ref="B149:B158"/>
    <mergeCell ref="C149:C158"/>
    <mergeCell ref="E149:E158"/>
    <mergeCell ref="I149:I158"/>
    <mergeCell ref="A159:A174"/>
    <mergeCell ref="B159:B174"/>
    <mergeCell ref="C159:C174"/>
    <mergeCell ref="D159:D174"/>
    <mergeCell ref="E159:E174"/>
    <mergeCell ref="I186:I190"/>
    <mergeCell ref="A191:A200"/>
    <mergeCell ref="B191:B200"/>
    <mergeCell ref="C191:C200"/>
    <mergeCell ref="D191:D200"/>
    <mergeCell ref="E191:E200"/>
    <mergeCell ref="F191:F200"/>
    <mergeCell ref="I191:I200"/>
    <mergeCell ref="A186:A190"/>
    <mergeCell ref="B186:B190"/>
    <mergeCell ref="C186:C190"/>
    <mergeCell ref="D186:D190"/>
    <mergeCell ref="E186:E190"/>
    <mergeCell ref="F186:F190"/>
    <mergeCell ref="A232:A241"/>
    <mergeCell ref="B232:B241"/>
    <mergeCell ref="C232:C241"/>
    <mergeCell ref="D232:D241"/>
    <mergeCell ref="E232:E241"/>
    <mergeCell ref="I232:I241"/>
    <mergeCell ref="A201:A231"/>
    <mergeCell ref="B201:B231"/>
    <mergeCell ref="C201:C231"/>
    <mergeCell ref="D201:D231"/>
    <mergeCell ref="E201:E231"/>
    <mergeCell ref="I201:I231"/>
  </mergeCells>
  <pageMargins left="0.7" right="0.7" top="0.75" bottom="0.75"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99A61-7B9A-4438-ACE0-E5782DEC9DC2}">
  <sheetPr>
    <tabColor rgb="FFFFFF00"/>
  </sheetPr>
  <dimension ref="A1:H58"/>
  <sheetViews>
    <sheetView workbookViewId="0">
      <selection sqref="A1:D1"/>
    </sheetView>
  </sheetViews>
  <sheetFormatPr defaultRowHeight="14.5" x14ac:dyDescent="0.35"/>
  <cols>
    <col min="1" max="7" width="33.54296875" customWidth="1"/>
  </cols>
  <sheetData>
    <row r="1" spans="1:8" ht="42" customHeight="1" x14ac:dyDescent="0.35">
      <c r="A1" s="375" t="s">
        <v>309</v>
      </c>
      <c r="B1" s="375"/>
      <c r="C1" s="375"/>
      <c r="D1" s="375"/>
      <c r="E1" s="16"/>
      <c r="F1" s="48"/>
      <c r="G1" s="48"/>
      <c r="H1" s="48"/>
    </row>
    <row r="2" spans="1:8" x14ac:dyDescent="0.35">
      <c r="A2" s="375" t="s">
        <v>310</v>
      </c>
      <c r="B2" s="375" t="s">
        <v>311</v>
      </c>
      <c r="C2" s="47" t="s">
        <v>44</v>
      </c>
      <c r="D2" s="375" t="s">
        <v>312</v>
      </c>
      <c r="E2" s="375" t="s">
        <v>313</v>
      </c>
      <c r="F2" s="375" t="s">
        <v>314</v>
      </c>
      <c r="G2" s="368"/>
      <c r="H2" s="368"/>
    </row>
    <row r="3" spans="1:8" ht="28.5" thickBot="1" x14ac:dyDescent="0.4">
      <c r="A3" s="376"/>
      <c r="B3" s="376"/>
      <c r="C3" s="49" t="s">
        <v>315</v>
      </c>
      <c r="D3" s="376"/>
      <c r="E3" s="376"/>
      <c r="F3" s="376"/>
      <c r="G3" s="368"/>
      <c r="H3" s="368"/>
    </row>
    <row r="4" spans="1:8" ht="46.5" x14ac:dyDescent="0.35">
      <c r="A4" s="374" t="s">
        <v>198</v>
      </c>
      <c r="B4" s="374" t="s">
        <v>316</v>
      </c>
      <c r="C4" s="374" t="s">
        <v>317</v>
      </c>
      <c r="D4" s="50" t="s">
        <v>318</v>
      </c>
      <c r="E4" s="16" t="s">
        <v>319</v>
      </c>
      <c r="F4" s="53" t="s">
        <v>199</v>
      </c>
      <c r="G4" s="368" t="s">
        <v>320</v>
      </c>
      <c r="H4" s="368"/>
    </row>
    <row r="5" spans="1:8" x14ac:dyDescent="0.35">
      <c r="A5" s="250"/>
      <c r="B5" s="250"/>
      <c r="C5" s="250"/>
      <c r="D5" s="6" t="s">
        <v>321</v>
      </c>
      <c r="E5" s="16" t="s">
        <v>62</v>
      </c>
      <c r="F5" s="52"/>
      <c r="G5" s="368"/>
      <c r="H5" s="368"/>
    </row>
    <row r="6" spans="1:8" ht="42" x14ac:dyDescent="0.35">
      <c r="A6" s="250"/>
      <c r="B6" s="250"/>
      <c r="C6" s="250"/>
      <c r="D6" s="6" t="s">
        <v>196</v>
      </c>
      <c r="E6" s="16" t="s">
        <v>322</v>
      </c>
      <c r="F6" s="53" t="s">
        <v>62</v>
      </c>
      <c r="G6" s="368"/>
      <c r="H6" s="368"/>
    </row>
    <row r="7" spans="1:8" ht="42" x14ac:dyDescent="0.35">
      <c r="A7" s="250"/>
      <c r="B7" s="250"/>
      <c r="C7" s="250"/>
      <c r="D7" s="51"/>
      <c r="E7" s="16" t="s">
        <v>323</v>
      </c>
      <c r="F7" s="53" t="s">
        <v>66</v>
      </c>
      <c r="G7" s="368"/>
      <c r="H7" s="368"/>
    </row>
    <row r="8" spans="1:8" ht="46.5" x14ac:dyDescent="0.35">
      <c r="A8" s="250"/>
      <c r="B8" s="250"/>
      <c r="C8" s="250"/>
      <c r="D8" s="51"/>
      <c r="E8" s="16"/>
      <c r="F8" s="53" t="s">
        <v>203</v>
      </c>
      <c r="G8" s="368"/>
      <c r="H8" s="368"/>
    </row>
    <row r="9" spans="1:8" ht="15.5" x14ac:dyDescent="0.35">
      <c r="A9" s="250"/>
      <c r="B9" s="250"/>
      <c r="C9" s="250"/>
      <c r="D9" s="51"/>
      <c r="E9" s="16"/>
      <c r="F9" s="53" t="s">
        <v>324</v>
      </c>
      <c r="G9" s="368"/>
      <c r="H9" s="368"/>
    </row>
    <row r="10" spans="1:8" ht="46.5" x14ac:dyDescent="0.35">
      <c r="A10" s="370" t="s">
        <v>58</v>
      </c>
      <c r="B10" s="370" t="s">
        <v>325</v>
      </c>
      <c r="C10" s="370" t="s">
        <v>78</v>
      </c>
      <c r="D10" s="55" t="s">
        <v>326</v>
      </c>
      <c r="E10" s="55" t="s">
        <v>327</v>
      </c>
      <c r="F10" s="53" t="s">
        <v>60</v>
      </c>
      <c r="G10" s="368" t="s">
        <v>328</v>
      </c>
      <c r="H10" s="368"/>
    </row>
    <row r="11" spans="1:8" ht="15.5" x14ac:dyDescent="0.35">
      <c r="A11" s="370"/>
      <c r="B11" s="370"/>
      <c r="C11" s="370"/>
      <c r="D11" s="55" t="s">
        <v>329</v>
      </c>
      <c r="E11" s="55" t="s">
        <v>62</v>
      </c>
      <c r="F11" s="53" t="s">
        <v>63</v>
      </c>
      <c r="G11" s="368"/>
      <c r="H11" s="368"/>
    </row>
    <row r="12" spans="1:8" ht="42" x14ac:dyDescent="0.35">
      <c r="A12" s="370"/>
      <c r="B12" s="370"/>
      <c r="C12" s="370"/>
      <c r="D12" s="55" t="s">
        <v>330</v>
      </c>
      <c r="E12" s="55" t="s">
        <v>322</v>
      </c>
      <c r="F12" s="53" t="s">
        <v>62</v>
      </c>
      <c r="G12" s="368"/>
      <c r="H12" s="368"/>
    </row>
    <row r="13" spans="1:8" ht="42" x14ac:dyDescent="0.35">
      <c r="A13" s="370"/>
      <c r="B13" s="370"/>
      <c r="C13" s="370"/>
      <c r="D13" s="55" t="s">
        <v>331</v>
      </c>
      <c r="E13" s="55" t="s">
        <v>332</v>
      </c>
      <c r="F13" s="53" t="s">
        <v>66</v>
      </c>
      <c r="G13" s="368"/>
      <c r="H13" s="368"/>
    </row>
    <row r="14" spans="1:8" ht="46.5" x14ac:dyDescent="0.35">
      <c r="A14" s="370"/>
      <c r="B14" s="370"/>
      <c r="C14" s="370"/>
      <c r="D14" s="55" t="s">
        <v>234</v>
      </c>
      <c r="E14" s="55"/>
      <c r="F14" s="53" t="s">
        <v>68</v>
      </c>
      <c r="G14" s="368"/>
      <c r="H14" s="368"/>
    </row>
    <row r="15" spans="1:8" ht="15.5" x14ac:dyDescent="0.35">
      <c r="A15" s="370"/>
      <c r="B15" s="370"/>
      <c r="C15" s="370"/>
      <c r="D15" s="56" t="s">
        <v>204</v>
      </c>
      <c r="E15" s="55"/>
      <c r="F15" s="53"/>
      <c r="G15" s="368"/>
      <c r="H15" s="368"/>
    </row>
    <row r="16" spans="1:8" ht="31.5" customHeight="1" x14ac:dyDescent="0.35">
      <c r="A16" s="250" t="s">
        <v>79</v>
      </c>
      <c r="B16" s="250" t="s">
        <v>333</v>
      </c>
      <c r="C16" s="250" t="s">
        <v>78</v>
      </c>
      <c r="D16" s="51" t="s">
        <v>334</v>
      </c>
      <c r="E16" s="16" t="s">
        <v>335</v>
      </c>
      <c r="F16" s="53" t="s">
        <v>81</v>
      </c>
      <c r="G16" s="368" t="s">
        <v>328</v>
      </c>
      <c r="H16" s="368"/>
    </row>
    <row r="17" spans="1:8" x14ac:dyDescent="0.35">
      <c r="A17" s="250"/>
      <c r="B17" s="250"/>
      <c r="C17" s="250"/>
      <c r="D17" s="51" t="s">
        <v>336</v>
      </c>
      <c r="E17" s="16" t="s">
        <v>62</v>
      </c>
      <c r="F17" s="52"/>
      <c r="G17" s="368"/>
      <c r="H17" s="368"/>
    </row>
    <row r="18" spans="1:8" ht="42" x14ac:dyDescent="0.35">
      <c r="A18" s="250"/>
      <c r="B18" s="250"/>
      <c r="C18" s="250"/>
      <c r="D18" s="16" t="s">
        <v>209</v>
      </c>
      <c r="E18" s="16" t="s">
        <v>322</v>
      </c>
      <c r="F18" s="53" t="s">
        <v>62</v>
      </c>
      <c r="G18" s="368"/>
      <c r="H18" s="368"/>
    </row>
    <row r="19" spans="1:8" ht="42" x14ac:dyDescent="0.35">
      <c r="A19" s="250"/>
      <c r="B19" s="250"/>
      <c r="C19" s="250"/>
      <c r="D19" s="16"/>
      <c r="E19" s="16" t="s">
        <v>332</v>
      </c>
      <c r="F19" s="53" t="s">
        <v>66</v>
      </c>
      <c r="G19" s="368"/>
      <c r="H19" s="368"/>
    </row>
    <row r="20" spans="1:8" ht="46.5" x14ac:dyDescent="0.35">
      <c r="A20" s="250"/>
      <c r="B20" s="250"/>
      <c r="C20" s="250"/>
      <c r="D20" s="16"/>
      <c r="E20" s="16"/>
      <c r="F20" s="53" t="s">
        <v>68</v>
      </c>
      <c r="G20" s="368"/>
      <c r="H20" s="368"/>
    </row>
    <row r="21" spans="1:8" ht="31" x14ac:dyDescent="0.35">
      <c r="A21" s="370" t="s">
        <v>211</v>
      </c>
      <c r="B21" s="370" t="s">
        <v>337</v>
      </c>
      <c r="C21" s="370" t="s">
        <v>57</v>
      </c>
      <c r="D21" s="373" t="s">
        <v>210</v>
      </c>
      <c r="E21" s="55" t="s">
        <v>335</v>
      </c>
      <c r="F21" s="53" t="s">
        <v>81</v>
      </c>
      <c r="G21" s="368" t="s">
        <v>328</v>
      </c>
      <c r="H21" s="368"/>
    </row>
    <row r="22" spans="1:8" x14ac:dyDescent="0.35">
      <c r="A22" s="370"/>
      <c r="B22" s="370"/>
      <c r="C22" s="370"/>
      <c r="D22" s="373"/>
      <c r="E22" s="55" t="s">
        <v>62</v>
      </c>
      <c r="F22" s="52"/>
      <c r="G22" s="368"/>
      <c r="H22" s="368"/>
    </row>
    <row r="23" spans="1:8" ht="42" x14ac:dyDescent="0.35">
      <c r="A23" s="370"/>
      <c r="B23" s="370"/>
      <c r="C23" s="370"/>
      <c r="D23" s="373"/>
      <c r="E23" s="55" t="s">
        <v>322</v>
      </c>
      <c r="F23" s="53" t="s">
        <v>62</v>
      </c>
      <c r="G23" s="368"/>
      <c r="H23" s="368"/>
    </row>
    <row r="24" spans="1:8" ht="42" x14ac:dyDescent="0.35">
      <c r="A24" s="370"/>
      <c r="B24" s="370"/>
      <c r="C24" s="370"/>
      <c r="D24" s="373"/>
      <c r="E24" s="55" t="s">
        <v>332</v>
      </c>
      <c r="F24" s="53" t="s">
        <v>66</v>
      </c>
      <c r="G24" s="368"/>
      <c r="H24" s="368"/>
    </row>
    <row r="25" spans="1:8" ht="46.5" x14ac:dyDescent="0.35">
      <c r="A25" s="370"/>
      <c r="B25" s="370"/>
      <c r="C25" s="370"/>
      <c r="D25" s="373"/>
      <c r="E25" s="55" t="s">
        <v>338</v>
      </c>
      <c r="F25" s="53" t="s">
        <v>212</v>
      </c>
      <c r="G25" s="368"/>
      <c r="H25" s="368"/>
    </row>
    <row r="26" spans="1:8" ht="31" x14ac:dyDescent="0.35">
      <c r="A26" s="370"/>
      <c r="B26" s="370"/>
      <c r="C26" s="370"/>
      <c r="D26" s="373"/>
      <c r="E26" s="55"/>
      <c r="F26" s="53" t="s">
        <v>213</v>
      </c>
      <c r="G26" s="368"/>
      <c r="H26" s="368"/>
    </row>
    <row r="27" spans="1:8" ht="31" x14ac:dyDescent="0.35">
      <c r="A27" s="250" t="s">
        <v>91</v>
      </c>
      <c r="B27" s="250" t="s">
        <v>339</v>
      </c>
      <c r="C27" s="250" t="s">
        <v>90</v>
      </c>
      <c r="D27" s="50" t="s">
        <v>340</v>
      </c>
      <c r="E27" s="16" t="s">
        <v>341</v>
      </c>
      <c r="F27" s="53" t="s">
        <v>93</v>
      </c>
      <c r="G27" s="370" t="s">
        <v>342</v>
      </c>
      <c r="H27" s="368"/>
    </row>
    <row r="28" spans="1:8" ht="28" x14ac:dyDescent="0.35">
      <c r="A28" s="250"/>
      <c r="B28" s="250"/>
      <c r="C28" s="250"/>
      <c r="D28" s="50" t="s">
        <v>343</v>
      </c>
      <c r="E28" s="16" t="s">
        <v>62</v>
      </c>
      <c r="F28" s="52"/>
      <c r="G28" s="370"/>
      <c r="H28" s="368"/>
    </row>
    <row r="29" spans="1:8" ht="42" x14ac:dyDescent="0.35">
      <c r="A29" s="250"/>
      <c r="B29" s="250"/>
      <c r="C29" s="250"/>
      <c r="D29" s="51" t="s">
        <v>344</v>
      </c>
      <c r="E29" s="16" t="s">
        <v>345</v>
      </c>
      <c r="F29" s="53" t="s">
        <v>62</v>
      </c>
      <c r="G29" s="370"/>
      <c r="H29" s="368"/>
    </row>
    <row r="30" spans="1:8" ht="42" x14ac:dyDescent="0.35">
      <c r="A30" s="250"/>
      <c r="B30" s="250"/>
      <c r="C30" s="250"/>
      <c r="D30" s="51" t="s">
        <v>346</v>
      </c>
      <c r="E30" s="16" t="s">
        <v>347</v>
      </c>
      <c r="F30" s="53" t="s">
        <v>98</v>
      </c>
      <c r="G30" s="370"/>
      <c r="H30" s="368"/>
    </row>
    <row r="31" spans="1:8" ht="62" x14ac:dyDescent="0.35">
      <c r="A31" s="250"/>
      <c r="B31" s="250"/>
      <c r="C31" s="250"/>
      <c r="D31" s="16" t="s">
        <v>348</v>
      </c>
      <c r="E31" s="16" t="s">
        <v>63</v>
      </c>
      <c r="F31" s="53" t="s">
        <v>100</v>
      </c>
      <c r="G31" s="370"/>
      <c r="H31" s="368"/>
    </row>
    <row r="32" spans="1:8" ht="42" x14ac:dyDescent="0.35">
      <c r="A32" s="250"/>
      <c r="B32" s="250"/>
      <c r="C32" s="250"/>
      <c r="D32" s="50" t="s">
        <v>349</v>
      </c>
      <c r="E32" s="16"/>
      <c r="F32" s="53" t="s">
        <v>324</v>
      </c>
      <c r="G32" s="370"/>
      <c r="H32" s="368"/>
    </row>
    <row r="33" spans="1:8" ht="15.5" x14ac:dyDescent="0.35">
      <c r="A33" s="250"/>
      <c r="B33" s="250"/>
      <c r="C33" s="250"/>
      <c r="D33" s="51" t="s">
        <v>251</v>
      </c>
      <c r="E33" s="16"/>
      <c r="F33" s="53"/>
      <c r="G33" s="370"/>
      <c r="H33" s="368"/>
    </row>
    <row r="34" spans="1:8" ht="31" x14ac:dyDescent="0.35">
      <c r="A34" s="370" t="s">
        <v>215</v>
      </c>
      <c r="B34" s="370" t="s">
        <v>350</v>
      </c>
      <c r="C34" s="370" t="s">
        <v>263</v>
      </c>
      <c r="D34" s="57" t="s">
        <v>351</v>
      </c>
      <c r="E34" s="55" t="s">
        <v>341</v>
      </c>
      <c r="F34" s="53" t="s">
        <v>93</v>
      </c>
      <c r="G34" s="370" t="s">
        <v>342</v>
      </c>
      <c r="H34" s="372" t="s">
        <v>352</v>
      </c>
    </row>
    <row r="35" spans="1:8" x14ac:dyDescent="0.35">
      <c r="A35" s="370"/>
      <c r="B35" s="370"/>
      <c r="C35" s="370"/>
      <c r="D35" s="56" t="s">
        <v>214</v>
      </c>
      <c r="E35" s="55" t="s">
        <v>62</v>
      </c>
      <c r="F35" s="52"/>
      <c r="G35" s="370"/>
      <c r="H35" s="372"/>
    </row>
    <row r="36" spans="1:8" ht="42" x14ac:dyDescent="0.35">
      <c r="A36" s="370"/>
      <c r="B36" s="370"/>
      <c r="C36" s="370"/>
      <c r="D36" s="56"/>
      <c r="E36" s="55" t="s">
        <v>345</v>
      </c>
      <c r="F36" s="53" t="s">
        <v>62</v>
      </c>
      <c r="G36" s="370"/>
      <c r="H36" s="372"/>
    </row>
    <row r="37" spans="1:8" ht="42" x14ac:dyDescent="0.35">
      <c r="A37" s="370"/>
      <c r="B37" s="370"/>
      <c r="C37" s="370"/>
      <c r="D37" s="56"/>
      <c r="E37" s="55" t="s">
        <v>347</v>
      </c>
      <c r="F37" s="53" t="s">
        <v>98</v>
      </c>
      <c r="G37" s="370"/>
      <c r="H37" s="372"/>
    </row>
    <row r="38" spans="1:8" ht="62" x14ac:dyDescent="0.35">
      <c r="A38" s="370"/>
      <c r="B38" s="370"/>
      <c r="C38" s="370"/>
      <c r="D38" s="56"/>
      <c r="E38" s="55" t="s">
        <v>338</v>
      </c>
      <c r="F38" s="53" t="s">
        <v>219</v>
      </c>
      <c r="G38" s="370"/>
      <c r="H38" s="372"/>
    </row>
    <row r="39" spans="1:8" ht="31" x14ac:dyDescent="0.35">
      <c r="A39" s="370"/>
      <c r="B39" s="370"/>
      <c r="C39" s="370"/>
      <c r="D39" s="56"/>
      <c r="E39" s="55" t="s">
        <v>63</v>
      </c>
      <c r="F39" s="53" t="s">
        <v>353</v>
      </c>
      <c r="G39" s="370"/>
      <c r="H39" s="372"/>
    </row>
    <row r="40" spans="1:8" ht="15.5" x14ac:dyDescent="0.35">
      <c r="A40" s="370"/>
      <c r="B40" s="370"/>
      <c r="C40" s="370"/>
      <c r="D40" s="56"/>
      <c r="E40" s="55"/>
      <c r="F40" s="53" t="s">
        <v>324</v>
      </c>
      <c r="G40" s="370"/>
      <c r="H40" s="372"/>
    </row>
    <row r="41" spans="1:8" ht="31" x14ac:dyDescent="0.35">
      <c r="A41" s="250" t="s">
        <v>354</v>
      </c>
      <c r="B41" s="250" t="s">
        <v>355</v>
      </c>
      <c r="C41" s="250" t="s">
        <v>356</v>
      </c>
      <c r="D41" s="50" t="s">
        <v>357</v>
      </c>
      <c r="E41" s="16" t="s">
        <v>358</v>
      </c>
      <c r="F41" s="53" t="s">
        <v>207</v>
      </c>
      <c r="G41" s="368" t="s">
        <v>359</v>
      </c>
      <c r="H41" s="368"/>
    </row>
    <row r="42" spans="1:8" x14ac:dyDescent="0.35">
      <c r="A42" s="250"/>
      <c r="B42" s="250"/>
      <c r="C42" s="250"/>
      <c r="D42" s="51" t="s">
        <v>205</v>
      </c>
      <c r="E42" s="16" t="s">
        <v>62</v>
      </c>
      <c r="F42" s="52"/>
      <c r="G42" s="368"/>
      <c r="H42" s="368"/>
    </row>
    <row r="43" spans="1:8" ht="42" x14ac:dyDescent="0.35">
      <c r="A43" s="250"/>
      <c r="B43" s="250"/>
      <c r="C43" s="250"/>
      <c r="D43" s="51"/>
      <c r="E43" s="16" t="s">
        <v>360</v>
      </c>
      <c r="F43" s="53" t="s">
        <v>62</v>
      </c>
      <c r="G43" s="368"/>
      <c r="H43" s="368"/>
    </row>
    <row r="44" spans="1:8" ht="31" x14ac:dyDescent="0.35">
      <c r="A44" s="250"/>
      <c r="B44" s="250"/>
      <c r="C44" s="250"/>
      <c r="D44" s="51"/>
      <c r="E44" s="16"/>
      <c r="F44" s="53" t="s">
        <v>208</v>
      </c>
      <c r="G44" s="368"/>
      <c r="H44" s="368"/>
    </row>
    <row r="45" spans="1:8" ht="56" x14ac:dyDescent="0.35">
      <c r="A45" s="370" t="s">
        <v>111</v>
      </c>
      <c r="B45" s="370" t="s">
        <v>361</v>
      </c>
      <c r="C45" s="250" t="s">
        <v>90</v>
      </c>
      <c r="D45" s="57" t="s">
        <v>340</v>
      </c>
      <c r="E45" s="55" t="s">
        <v>362</v>
      </c>
      <c r="F45" s="55" t="s">
        <v>112</v>
      </c>
      <c r="G45" s="370" t="s">
        <v>342</v>
      </c>
      <c r="H45" s="368"/>
    </row>
    <row r="46" spans="1:8" ht="28" x14ac:dyDescent="0.35">
      <c r="A46" s="370"/>
      <c r="B46" s="370"/>
      <c r="C46" s="250"/>
      <c r="D46" s="57" t="s">
        <v>363</v>
      </c>
      <c r="E46" s="55" t="s">
        <v>62</v>
      </c>
      <c r="F46" s="54"/>
      <c r="G46" s="370"/>
      <c r="H46" s="368"/>
    </row>
    <row r="47" spans="1:8" ht="42" x14ac:dyDescent="0.35">
      <c r="A47" s="370"/>
      <c r="B47" s="370"/>
      <c r="C47" s="250"/>
      <c r="D47" s="56" t="s">
        <v>364</v>
      </c>
      <c r="E47" s="55" t="s">
        <v>345</v>
      </c>
      <c r="F47" s="55" t="s">
        <v>114</v>
      </c>
      <c r="G47" s="370"/>
      <c r="H47" s="368"/>
    </row>
    <row r="48" spans="1:8" ht="42" x14ac:dyDescent="0.35">
      <c r="A48" s="370"/>
      <c r="B48" s="370"/>
      <c r="C48" s="250"/>
      <c r="D48" s="56" t="s">
        <v>365</v>
      </c>
      <c r="E48" s="55" t="s">
        <v>347</v>
      </c>
      <c r="F48" s="55" t="s">
        <v>62</v>
      </c>
      <c r="G48" s="370"/>
      <c r="H48" s="368"/>
    </row>
    <row r="49" spans="1:8" ht="28" x14ac:dyDescent="0.35">
      <c r="A49" s="370"/>
      <c r="B49" s="370"/>
      <c r="C49" s="250"/>
      <c r="D49" s="56" t="s">
        <v>366</v>
      </c>
      <c r="E49" s="55"/>
      <c r="F49" s="55" t="s">
        <v>98</v>
      </c>
      <c r="G49" s="370"/>
      <c r="H49" s="368"/>
    </row>
    <row r="50" spans="1:8" ht="56" x14ac:dyDescent="0.35">
      <c r="A50" s="370"/>
      <c r="B50" s="370"/>
      <c r="C50" s="250"/>
      <c r="D50" s="57" t="s">
        <v>367</v>
      </c>
      <c r="E50" s="55"/>
      <c r="F50" s="55" t="s">
        <v>100</v>
      </c>
      <c r="G50" s="370"/>
      <c r="H50" s="368"/>
    </row>
    <row r="51" spans="1:8" x14ac:dyDescent="0.35">
      <c r="A51" s="370"/>
      <c r="B51" s="370"/>
      <c r="C51" s="250"/>
      <c r="D51" s="57" t="s">
        <v>368</v>
      </c>
      <c r="E51" s="55"/>
      <c r="F51" s="55"/>
      <c r="G51" s="370"/>
      <c r="H51" s="368"/>
    </row>
    <row r="52" spans="1:8" x14ac:dyDescent="0.35">
      <c r="A52" s="370"/>
      <c r="B52" s="370"/>
      <c r="C52" s="250"/>
      <c r="D52" s="56" t="s">
        <v>369</v>
      </c>
      <c r="E52" s="55"/>
      <c r="F52" s="55"/>
      <c r="G52" s="370"/>
      <c r="H52" s="368"/>
    </row>
    <row r="53" spans="1:8" x14ac:dyDescent="0.35">
      <c r="A53" s="370"/>
      <c r="B53" s="370"/>
      <c r="C53" s="250"/>
      <c r="D53" s="56" t="s">
        <v>256</v>
      </c>
      <c r="E53" s="55"/>
      <c r="F53" s="55"/>
      <c r="G53" s="370"/>
      <c r="H53" s="368"/>
    </row>
    <row r="54" spans="1:8" ht="15" thickBot="1" x14ac:dyDescent="0.4">
      <c r="A54" s="371"/>
      <c r="B54" s="371"/>
      <c r="C54" s="250"/>
      <c r="D54" s="121" t="s">
        <v>351</v>
      </c>
      <c r="E54" s="58"/>
      <c r="F54" s="58"/>
      <c r="G54" s="370"/>
      <c r="H54" s="368"/>
    </row>
    <row r="55" spans="1:8" ht="84" x14ac:dyDescent="0.35">
      <c r="A55" s="369" t="s">
        <v>190</v>
      </c>
      <c r="B55" s="369"/>
      <c r="C55" s="250" t="s">
        <v>78</v>
      </c>
      <c r="D55" s="369" t="s">
        <v>188</v>
      </c>
      <c r="E55" s="369"/>
      <c r="F55" s="55" t="s">
        <v>191</v>
      </c>
      <c r="G55" s="370" t="s">
        <v>370</v>
      </c>
      <c r="H55" s="368"/>
    </row>
    <row r="56" spans="1:8" x14ac:dyDescent="0.35">
      <c r="A56" s="370"/>
      <c r="B56" s="370"/>
      <c r="C56" s="250"/>
      <c r="D56" s="370"/>
      <c r="E56" s="370"/>
      <c r="F56" s="54"/>
      <c r="G56" s="370"/>
      <c r="H56" s="368"/>
    </row>
    <row r="57" spans="1:8" ht="42" x14ac:dyDescent="0.35">
      <c r="A57" s="370"/>
      <c r="B57" s="370"/>
      <c r="C57" s="250"/>
      <c r="D57" s="370"/>
      <c r="E57" s="370"/>
      <c r="F57" s="55" t="s">
        <v>192</v>
      </c>
      <c r="G57" s="370"/>
      <c r="H57" s="368"/>
    </row>
    <row r="58" spans="1:8" ht="56.5" thickBot="1" x14ac:dyDescent="0.4">
      <c r="A58" s="371"/>
      <c r="B58" s="371"/>
      <c r="C58" s="250"/>
      <c r="D58" s="371"/>
      <c r="E58" s="371"/>
      <c r="F58" s="58" t="s">
        <v>193</v>
      </c>
      <c r="G58" s="370"/>
      <c r="H58" s="368"/>
    </row>
  </sheetData>
  <mergeCells count="56">
    <mergeCell ref="A1:D1"/>
    <mergeCell ref="A2:A3"/>
    <mergeCell ref="B2:B3"/>
    <mergeCell ref="D2:D3"/>
    <mergeCell ref="E2:E3"/>
    <mergeCell ref="G2:G3"/>
    <mergeCell ref="H2:H3"/>
    <mergeCell ref="A4:A9"/>
    <mergeCell ref="B4:B9"/>
    <mergeCell ref="C4:C9"/>
    <mergeCell ref="G4:G9"/>
    <mergeCell ref="H4:H9"/>
    <mergeCell ref="F2:F3"/>
    <mergeCell ref="H21:H26"/>
    <mergeCell ref="A10:A15"/>
    <mergeCell ref="B10:B15"/>
    <mergeCell ref="C10:C15"/>
    <mergeCell ref="G10:G15"/>
    <mergeCell ref="H10:H15"/>
    <mergeCell ref="A16:A20"/>
    <mergeCell ref="B16:B20"/>
    <mergeCell ref="C16:C20"/>
    <mergeCell ref="G16:G20"/>
    <mergeCell ref="H16:H20"/>
    <mergeCell ref="A21:A26"/>
    <mergeCell ref="B21:B26"/>
    <mergeCell ref="C21:C26"/>
    <mergeCell ref="D21:D26"/>
    <mergeCell ref="G21:G26"/>
    <mergeCell ref="A34:A40"/>
    <mergeCell ref="B34:B40"/>
    <mergeCell ref="C34:C40"/>
    <mergeCell ref="G34:G40"/>
    <mergeCell ref="H34:H40"/>
    <mergeCell ref="A27:A33"/>
    <mergeCell ref="B27:B33"/>
    <mergeCell ref="C27:C33"/>
    <mergeCell ref="G27:G33"/>
    <mergeCell ref="H27:H33"/>
    <mergeCell ref="A45:A54"/>
    <mergeCell ref="B45:B54"/>
    <mergeCell ref="C45:C54"/>
    <mergeCell ref="G45:G54"/>
    <mergeCell ref="H45:H54"/>
    <mergeCell ref="A41:A44"/>
    <mergeCell ref="B41:B44"/>
    <mergeCell ref="C41:C44"/>
    <mergeCell ref="G41:G44"/>
    <mergeCell ref="H41:H44"/>
    <mergeCell ref="H55:H58"/>
    <mergeCell ref="A55:A58"/>
    <mergeCell ref="B55:B58"/>
    <mergeCell ref="C55:C58"/>
    <mergeCell ref="D55:D58"/>
    <mergeCell ref="E55:E58"/>
    <mergeCell ref="G55:G58"/>
  </mergeCells>
  <pageMargins left="0.7" right="0.7" top="0.75" bottom="0.75" header="0.3" footer="0.3"/>
  <pageSetup paperSize="9"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F41A3A1790576438926149A29659083" ma:contentTypeVersion="15" ma:contentTypeDescription="Create a new document." ma:contentTypeScope="" ma:versionID="3a5319c8a9ca3677f77c5b407d3aa4f7">
  <xsd:schema xmlns:xsd="http://www.w3.org/2001/XMLSchema" xmlns:xs="http://www.w3.org/2001/XMLSchema" xmlns:p="http://schemas.microsoft.com/office/2006/metadata/properties" xmlns:ns2="7fd9f64b-80f2-4747-9554-8419ee6d34c8" xmlns:ns3="b8e406a8-1798-43dc-bd03-b0c137f7aae2" xmlns:ns4="5668c8bc-6c30-45e9-80ca-5109d4270dfd" targetNamespace="http://schemas.microsoft.com/office/2006/metadata/properties" ma:root="true" ma:fieldsID="50276dee1a88bc061eff13acdea3d870" ns2:_="" ns3:_="" ns4:_="">
    <xsd:import namespace="7fd9f64b-80f2-4747-9554-8419ee6d34c8"/>
    <xsd:import namespace="b8e406a8-1798-43dc-bd03-b0c137f7aae2"/>
    <xsd:import namespace="5668c8bc-6c30-45e9-80ca-5109d4270df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d9f64b-80f2-4747-9554-8419ee6d34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b72b7f4-c981-47a4-a26e-043e4b78ebf3"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8e406a8-1798-43dc-bd03-b0c137f7aae2"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101a7cc8-9105-42b2-b3de-294223effd7c}" ma:internalName="TaxCatchAll" ma:showField="CatchAllData" ma:web="b8e406a8-1798-43dc-bd03-b0c137f7aa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fd9f64b-80f2-4747-9554-8419ee6d34c8">
      <Terms xmlns="http://schemas.microsoft.com/office/infopath/2007/PartnerControls"/>
    </lcf76f155ced4ddcb4097134ff3c332f>
    <TaxCatchAll xmlns="5668c8bc-6c30-45e9-80ca-5109d4270df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59C398C-3708-4574-80F6-9A95A5128F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d9f64b-80f2-4747-9554-8419ee6d34c8"/>
    <ds:schemaRef ds:uri="b8e406a8-1798-43dc-bd03-b0c137f7aae2"/>
    <ds:schemaRef ds:uri="5668c8bc-6c30-45e9-80ca-5109d4270d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D059E8-5ADF-41F9-AC28-08EE52238568}">
  <ds:schemaRefs>
    <ds:schemaRef ds:uri="http://schemas.microsoft.com/office/2006/metadata/properties"/>
    <ds:schemaRef ds:uri="http://schemas.microsoft.com/office/infopath/2007/PartnerControls"/>
    <ds:schemaRef ds:uri="7fd9f64b-80f2-4747-9554-8419ee6d34c8"/>
    <ds:schemaRef ds:uri="5668c8bc-6c30-45e9-80ca-5109d4270dfd"/>
  </ds:schemaRefs>
</ds:datastoreItem>
</file>

<file path=customXml/itemProps3.xml><?xml version="1.0" encoding="utf-8"?>
<ds:datastoreItem xmlns:ds="http://schemas.openxmlformats.org/officeDocument/2006/customXml" ds:itemID="{18E8F4B6-1FDF-4151-B106-C68FE286ED6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5</vt:i4>
      </vt:variant>
    </vt:vector>
  </HeadingPairs>
  <TitlesOfParts>
    <vt:vector size="19" baseType="lpstr">
      <vt:lpstr>Cover</vt:lpstr>
      <vt:lpstr>Notes</vt:lpstr>
      <vt:lpstr>Version History</vt:lpstr>
      <vt:lpstr>Monthly Core Data Measures</vt:lpstr>
      <vt:lpstr>Table 1a Field names</vt:lpstr>
      <vt:lpstr>Table 1b Dimensions</vt:lpstr>
      <vt:lpstr>Table 1c Counts</vt:lpstr>
      <vt:lpstr>Monthly HV Data Measures</vt:lpstr>
      <vt:lpstr>Data Quality Measures</vt:lpstr>
      <vt:lpstr>Glossary</vt:lpstr>
      <vt:lpstr>Monthly Core Data Measures old</vt:lpstr>
      <vt:lpstr>Table 1b Dimensions old</vt:lpstr>
      <vt:lpstr>Table 3</vt:lpstr>
      <vt:lpstr>Table 4 Counts wking</vt:lpstr>
      <vt:lpstr>Cover!Print_Area</vt:lpstr>
      <vt:lpstr>'Monthly Core Data Measures old'!Print_Area</vt:lpstr>
      <vt:lpstr>Notes!Print_Area</vt:lpstr>
      <vt:lpstr>'Table 1a Field names'!Print_Area</vt:lpstr>
      <vt:lpstr>'Version History'!Print_Area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2023-03-17T10:16:48Z</dcterms:created>
  <dcterms:modified xsi:type="dcterms:W3CDTF">2023-06-27T16:56:19Z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0x010100DF41A3A1790576438926149A29659083</vt:lpwstr>
  </property>
  <property fmtid="{D5CDD505-2E9C-101B-9397-08002B2CF9AE}" pid="3" name="MediaServiceImageTags">
    <vt:lpwstr/>
  </property>
</Properties>
</file>